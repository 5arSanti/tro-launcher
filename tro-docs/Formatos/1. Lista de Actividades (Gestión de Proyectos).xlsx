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ohels-ariasb_unilibre_edu_co/Documents/7. Septimo Semestre/Gestión de Proyectos/Proyecto TORNS (Gestión de Proyectos)/"/>
    </mc:Choice>
  </mc:AlternateContent>
  <xr:revisionPtr revIDLastSave="742" documentId="8_{CDB429C6-05AE-492D-9D38-BDD879007C5A}" xr6:coauthVersionLast="47" xr6:coauthVersionMax="47" xr10:uidLastSave="{BB7F4CA4-D835-4FA5-BC20-1920D4F8BD8A}"/>
  <bookViews>
    <workbookView xWindow="-120" yWindow="-120" windowWidth="20640" windowHeight="11760" tabRatio="500" xr2:uid="{00000000-000D-0000-FFFF-FFFF00000000}"/>
  </bookViews>
  <sheets>
    <sheet name="Lista de Actividades" sheetId="1" r:id="rId1"/>
  </sheets>
  <externalReferences>
    <externalReference r:id="rId2"/>
  </externalReferences>
  <definedNames>
    <definedName name="_xlnm.Print_Area" localSheetId="0">'Lista de Actividades'!$C$1:$L$25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6" i="1" l="1"/>
  <c r="L55" i="1"/>
  <c r="L54" i="1"/>
  <c r="L52" i="1"/>
  <c r="L50" i="1"/>
  <c r="L49" i="1"/>
  <c r="L48" i="1"/>
  <c r="L47" i="1"/>
  <c r="L46" i="1"/>
  <c r="L45" i="1"/>
  <c r="L43" i="1"/>
  <c r="L42" i="1"/>
  <c r="L41" i="1"/>
  <c r="L40" i="1"/>
  <c r="L38" i="1"/>
  <c r="L36" i="1"/>
  <c r="L35" i="1"/>
  <c r="L34" i="1"/>
  <c r="L33" i="1"/>
  <c r="L31" i="1"/>
  <c r="L30" i="1"/>
  <c r="L29" i="1"/>
  <c r="L27" i="1"/>
  <c r="L26" i="1"/>
  <c r="L25" i="1"/>
  <c r="L23" i="1"/>
  <c r="L22" i="1"/>
  <c r="L21" i="1"/>
  <c r="L20" i="1"/>
  <c r="L19" i="1"/>
  <c r="L18" i="1"/>
  <c r="L16" i="1"/>
  <c r="L15" i="1"/>
  <c r="L14" i="1"/>
  <c r="L13" i="1"/>
  <c r="L12" i="1"/>
  <c r="L11" i="1"/>
  <c r="L10" i="1"/>
  <c r="L9" i="1"/>
  <c r="L8" i="1"/>
  <c r="L7" i="1"/>
  <c r="L6" i="1"/>
  <c r="L57" i="1" s="1"/>
  <c r="M57" i="1"/>
  <c r="H29" i="1"/>
  <c r="H30" i="1"/>
  <c r="H31" i="1"/>
  <c r="F55" i="1"/>
  <c r="F56" i="1"/>
  <c r="G27" i="1"/>
  <c r="G26" i="1"/>
  <c r="H26" i="1"/>
  <c r="H25" i="1"/>
  <c r="G25" i="1"/>
  <c r="H23" i="1"/>
  <c r="G23" i="1"/>
  <c r="H22" i="1"/>
  <c r="G18" i="1"/>
  <c r="H16" i="1"/>
  <c r="H13" i="1"/>
  <c r="H14" i="1"/>
  <c r="H15" i="1"/>
  <c r="G14" i="1"/>
  <c r="G15" i="1"/>
  <c r="G16" i="1"/>
  <c r="F14" i="1"/>
  <c r="F15" i="1"/>
  <c r="F16" i="1"/>
  <c r="G54" i="1"/>
  <c r="F54" i="1"/>
  <c r="G52" i="1"/>
  <c r="G50" i="1"/>
  <c r="G49" i="1"/>
  <c r="G48" i="1"/>
  <c r="G47" i="1"/>
  <c r="G46" i="1"/>
  <c r="G45" i="1"/>
  <c r="G40" i="1"/>
  <c r="G43" i="1"/>
  <c r="G42" i="1"/>
  <c r="G41" i="1"/>
  <c r="G38" i="1"/>
  <c r="G36" i="1"/>
  <c r="G35" i="1"/>
  <c r="G34" i="1"/>
  <c r="G33" i="1"/>
  <c r="G31" i="1"/>
  <c r="G30" i="1"/>
  <c r="G29" i="1"/>
  <c r="G20" i="1"/>
  <c r="G21" i="1"/>
  <c r="G22" i="1"/>
  <c r="G19" i="1"/>
  <c r="G8" i="1"/>
  <c r="G9" i="1"/>
  <c r="G10" i="1"/>
  <c r="G11" i="1"/>
  <c r="G12" i="1"/>
  <c r="G13" i="1"/>
  <c r="G7" i="1"/>
  <c r="H50" i="1"/>
  <c r="H49" i="1"/>
  <c r="H48" i="1"/>
  <c r="H47" i="1"/>
  <c r="H46" i="1"/>
  <c r="H45" i="1"/>
  <c r="H43" i="1"/>
  <c r="H42" i="1"/>
  <c r="H41" i="1"/>
  <c r="H40" i="1"/>
  <c r="H38" i="1"/>
  <c r="H36" i="1"/>
  <c r="H35" i="1"/>
  <c r="H34" i="1"/>
  <c r="H33" i="1"/>
  <c r="H27" i="1"/>
  <c r="H19" i="1"/>
  <c r="H20" i="1"/>
  <c r="H21" i="1"/>
  <c r="H18" i="1"/>
  <c r="H12" i="1"/>
  <c r="H11" i="1"/>
  <c r="H10" i="1"/>
  <c r="H9" i="1"/>
  <c r="H8" i="1"/>
  <c r="H7" i="1"/>
  <c r="H6" i="1"/>
  <c r="F52" i="1"/>
  <c r="F50" i="1"/>
  <c r="F49" i="1"/>
  <c r="F48" i="1"/>
  <c r="F47" i="1"/>
  <c r="F46" i="1"/>
  <c r="F45" i="1"/>
  <c r="F43" i="1"/>
  <c r="F42" i="1"/>
  <c r="F41" i="1"/>
  <c r="F40" i="1"/>
  <c r="F38" i="1"/>
  <c r="F36" i="1"/>
  <c r="F35" i="1"/>
  <c r="F34" i="1"/>
  <c r="F33" i="1"/>
  <c r="F31" i="1"/>
  <c r="F30" i="1"/>
  <c r="F29" i="1"/>
  <c r="F27" i="1"/>
  <c r="F26" i="1"/>
  <c r="F25" i="1"/>
  <c r="F23" i="1"/>
  <c r="F22" i="1"/>
  <c r="F21" i="1"/>
  <c r="F20" i="1"/>
  <c r="F19" i="1"/>
  <c r="F18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<sst xmlns="http://schemas.openxmlformats.org/spreadsheetml/2006/main" count="278" uniqueCount="162">
  <si>
    <t>Lista de actividades</t>
  </si>
  <si>
    <t>Nombre del Proyecto: TRON (Train Routes Optimization)</t>
  </si>
  <si>
    <t>Johel Santiago Arias Becerra
Rebeca Pedrozo Cueto
Nicolas Daza Redondo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</si>
  <si>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</si>
  <si>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</si>
  <si>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</si>
  <si>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</si>
  <si>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</si>
  <si>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</si>
  <si>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</si>
  <si>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</si>
  <si>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</si>
  <si>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</si>
  <si>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</si>
  <si>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Fase 1. Documentación y gestión del proyecto</t>
  </si>
  <si>
    <t xml:space="preserve">Planteamiento del problema </t>
  </si>
  <si>
    <t>A1</t>
  </si>
  <si>
    <t>1.1.1</t>
  </si>
  <si>
    <t>Team, cliente</t>
  </si>
  <si>
    <t>COMPLETADO</t>
  </si>
  <si>
    <t>FS</t>
  </si>
  <si>
    <t xml:space="preserve">Justificación del planteamiento del proyecto </t>
  </si>
  <si>
    <t>A2</t>
  </si>
  <si>
    <t>1.2.1</t>
  </si>
  <si>
    <t xml:space="preserve">Marco teoríco y conceptual del proyecto </t>
  </si>
  <si>
    <t>A3</t>
  </si>
  <si>
    <t>1.3.1</t>
  </si>
  <si>
    <t xml:space="preserve">Team </t>
  </si>
  <si>
    <t xml:space="preserve">Identificación de objetivos generales y específicos del proyecto </t>
  </si>
  <si>
    <t>A4</t>
  </si>
  <si>
    <t>1.4.1</t>
  </si>
  <si>
    <t>Team</t>
  </si>
  <si>
    <t xml:space="preserve">Delimitación y alcance del proyecto </t>
  </si>
  <si>
    <t>A5</t>
  </si>
  <si>
    <t>1.5.1</t>
  </si>
  <si>
    <t xml:space="preserve">Problematica del proyecto </t>
  </si>
  <si>
    <t>A6</t>
  </si>
  <si>
    <t>1.5.2</t>
  </si>
  <si>
    <t xml:space="preserve">Factibilidad del proyecto </t>
  </si>
  <si>
    <t>A7</t>
  </si>
  <si>
    <t>1.5.3</t>
  </si>
  <si>
    <t xml:space="preserve">Indentificación de stakeholders e interesados </t>
  </si>
  <si>
    <t>A8</t>
  </si>
  <si>
    <t>1.6.1</t>
  </si>
  <si>
    <t>Elaboracion de EDT</t>
  </si>
  <si>
    <t>A9</t>
  </si>
  <si>
    <t>1.7.1</t>
  </si>
  <si>
    <t>Definir entregables principales</t>
  </si>
  <si>
    <t>A10</t>
  </si>
  <si>
    <t>1.7.2</t>
  </si>
  <si>
    <t xml:space="preserve">Estimar recursos, costos y presupuesto </t>
  </si>
  <si>
    <t>A11</t>
  </si>
  <si>
    <t>1.7.3</t>
  </si>
  <si>
    <t xml:space="preserve">Fase 2. Requerimientos del proyecto </t>
  </si>
  <si>
    <t xml:space="preserve">Definición de requerimientos funcionales </t>
  </si>
  <si>
    <t>B1</t>
  </si>
  <si>
    <t>2.1.1</t>
  </si>
  <si>
    <t xml:space="preserve">Creación de tablas de requerimientos funcionales </t>
  </si>
  <si>
    <t>B2</t>
  </si>
  <si>
    <t>2.1.2</t>
  </si>
  <si>
    <t xml:space="preserve">Definición de requerimientos no funcionales </t>
  </si>
  <si>
    <t>B3</t>
  </si>
  <si>
    <t>2.1.3</t>
  </si>
  <si>
    <t xml:space="preserve">Creación de tablas de requerimientos no funcionales </t>
  </si>
  <si>
    <t>B4</t>
  </si>
  <si>
    <t>2.1.4</t>
  </si>
  <si>
    <t xml:space="preserve">Planteamiento de casos de uso de requerimientos funcionales </t>
  </si>
  <si>
    <t>B5</t>
  </si>
  <si>
    <t>2.2.1</t>
  </si>
  <si>
    <t xml:space="preserve">Planteamiento de casos de uso de requerimientos no funcionales </t>
  </si>
  <si>
    <t>B6</t>
  </si>
  <si>
    <t>2.2.4</t>
  </si>
  <si>
    <t xml:space="preserve">Fase 3. Diagramación de software </t>
  </si>
  <si>
    <t xml:space="preserve">Diagrama de flujo de datos </t>
  </si>
  <si>
    <t>C1</t>
  </si>
  <si>
    <t>3.1.1</t>
  </si>
  <si>
    <t>SS</t>
  </si>
  <si>
    <t xml:space="preserve">Diagrama de arquitectura </t>
  </si>
  <si>
    <t>C2</t>
  </si>
  <si>
    <t>3.1.4</t>
  </si>
  <si>
    <t xml:space="preserve">Diagrama entidad-relación </t>
  </si>
  <si>
    <t>C3</t>
  </si>
  <si>
    <t>3.1.6</t>
  </si>
  <si>
    <t>Fase 4. Diseño de Interfaz de Usuario</t>
  </si>
  <si>
    <t xml:space="preserve">Mapa de navegación </t>
  </si>
  <si>
    <t>D1</t>
  </si>
  <si>
    <t>4.1.1</t>
  </si>
  <si>
    <t>Frontend</t>
  </si>
  <si>
    <t xml:space="preserve">Mockups </t>
  </si>
  <si>
    <t>D2</t>
  </si>
  <si>
    <t>4.2.1</t>
  </si>
  <si>
    <t xml:space="preserve">Prototipo funcional </t>
  </si>
  <si>
    <t>D3</t>
  </si>
  <si>
    <t>4.3.1</t>
  </si>
  <si>
    <t xml:space="preserve">Fase 5. Desarrollo - Entrenamiento del modelo  </t>
  </si>
  <si>
    <t>Identificación y búsqueda de datasets</t>
  </si>
  <si>
    <t>E1</t>
  </si>
  <si>
    <t>5.1.1</t>
  </si>
  <si>
    <t>Backend</t>
  </si>
  <si>
    <t xml:space="preserve">Definición de hiperparámetros </t>
  </si>
  <si>
    <t>E2</t>
  </si>
  <si>
    <t>5.2.1</t>
  </si>
  <si>
    <t xml:space="preserve">Limpieza y procesamiento de imágenes </t>
  </si>
  <si>
    <t>E3</t>
  </si>
  <si>
    <t>5.3.1</t>
  </si>
  <si>
    <t xml:space="preserve">Entrenamiento del modelo </t>
  </si>
  <si>
    <t>E4</t>
  </si>
  <si>
    <t>5.4.1</t>
  </si>
  <si>
    <t xml:space="preserve">Fase 6. Base de datos   </t>
  </si>
  <si>
    <t xml:space="preserve">Creación del modelo </t>
  </si>
  <si>
    <t>F1</t>
  </si>
  <si>
    <t>6.1.1</t>
  </si>
  <si>
    <t>DBA</t>
  </si>
  <si>
    <t xml:space="preserve">Fase 7. Desarrollo - Backend/API   </t>
  </si>
  <si>
    <t xml:space="preserve">Montaje de infraestructura </t>
  </si>
  <si>
    <t>G1</t>
  </si>
  <si>
    <t>7.1.1</t>
  </si>
  <si>
    <t xml:space="preserve">Implementación de patrones de diseño </t>
  </si>
  <si>
    <t>G2</t>
  </si>
  <si>
    <t>7.2.1</t>
  </si>
  <si>
    <t xml:space="preserve">Creación de endpoints </t>
  </si>
  <si>
    <t>G3</t>
  </si>
  <si>
    <t>7.3.1</t>
  </si>
  <si>
    <t xml:space="preserve">Integración con el modelo </t>
  </si>
  <si>
    <t>G4</t>
  </si>
  <si>
    <t>7.4.1</t>
  </si>
  <si>
    <t xml:space="preserve">Fase 8. Desarrollo - Frontend / Interfaz visual    </t>
  </si>
  <si>
    <t xml:space="preserve">Integración con dependencias </t>
  </si>
  <si>
    <t>H1</t>
  </si>
  <si>
    <t>8.1.1</t>
  </si>
  <si>
    <t xml:space="preserve">Configuración del framework </t>
  </si>
  <si>
    <t>H2</t>
  </si>
  <si>
    <t>8.2.1</t>
  </si>
  <si>
    <t xml:space="preserve">Creación de componentes </t>
  </si>
  <si>
    <t>H3</t>
  </si>
  <si>
    <t>8.3.1</t>
  </si>
  <si>
    <t xml:space="preserve">Configuración de manual de marca según diseño </t>
  </si>
  <si>
    <t>H4</t>
  </si>
  <si>
    <t>8.4.1</t>
  </si>
  <si>
    <t xml:space="preserve">Creación de interfaces principales </t>
  </si>
  <si>
    <t>H5</t>
  </si>
  <si>
    <t>8.5.1</t>
  </si>
  <si>
    <t>Integración con backend</t>
  </si>
  <si>
    <t>H6</t>
  </si>
  <si>
    <t>8.6.1</t>
  </si>
  <si>
    <t xml:space="preserve">Fase 9. Fase de pruebas </t>
  </si>
  <si>
    <t xml:space="preserve">Pruebas funcionales </t>
  </si>
  <si>
    <t>I1</t>
  </si>
  <si>
    <t>9.1.1</t>
  </si>
  <si>
    <t>QAs</t>
  </si>
  <si>
    <t>EN PROCESO</t>
  </si>
  <si>
    <t>Fase 10. Cierre</t>
  </si>
  <si>
    <t>Validar resultados con interesados</t>
  </si>
  <si>
    <t>J1</t>
  </si>
  <si>
    <t>10.1.1</t>
  </si>
  <si>
    <t>Finalizacion del Informe Final</t>
  </si>
  <si>
    <t>J2</t>
  </si>
  <si>
    <t>10.2.1</t>
  </si>
  <si>
    <t>Realizar cierre del proyecto</t>
  </si>
  <si>
    <t>J3</t>
  </si>
  <si>
    <t>10.3.1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</si>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</sst>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43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/>
    </xf>
    <xf numFmtId="0" fontId="10" fillId="7" borderId="2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8" fillId="2" borderId="7" xfId="0" applyFont="1" applyFill="1" applyBorder="1" applyAlignment="1">
      <alignment horizontal="left" vertical="center" wrapText="1" indent="1"/>
    </xf>
    <xf numFmtId="0" fontId="9" fillId="2" borderId="7" xfId="0" applyFont="1" applyFill="1" applyBorder="1" applyAlignment="1">
      <alignment horizontal="left" vertical="center" wrapText="1" indent="1" readingOrder="1"/>
    </xf>
    <xf numFmtId="0" fontId="9" fillId="6" borderId="7" xfId="0" applyFont="1" applyFill="1" applyBorder="1" applyAlignment="1">
      <alignment horizontal="left" vertical="center" wrapText="1" indent="1" readingOrder="1"/>
    </xf>
    <xf numFmtId="0" fontId="9" fillId="8" borderId="7" xfId="0" applyFont="1" applyFill="1" applyBorder="1" applyAlignment="1">
      <alignment horizontal="left" vertical="center" wrapText="1" indent="1" readingOrder="1"/>
    </xf>
    <xf numFmtId="0" fontId="9" fillId="3" borderId="7" xfId="0" applyFont="1" applyFill="1" applyBorder="1" applyAlignment="1">
      <alignment horizontal="left" vertical="center" wrapText="1" indent="1" readingOrder="1"/>
    </xf>
    <xf numFmtId="0" fontId="8" fillId="2" borderId="6" xfId="0" applyFont="1" applyFill="1" applyBorder="1" applyAlignment="1">
      <alignment horizontal="left" vertical="center" wrapText="1" indent="1"/>
    </xf>
    <xf numFmtId="0" fontId="9" fillId="2" borderId="6" xfId="0" applyFont="1" applyFill="1" applyBorder="1" applyAlignment="1">
      <alignment horizontal="left" vertical="center" wrapText="1" indent="1" readingOrder="1"/>
    </xf>
    <xf numFmtId="0" fontId="9" fillId="6" borderId="6" xfId="0" applyFont="1" applyFill="1" applyBorder="1" applyAlignment="1">
      <alignment horizontal="left" vertical="center" wrapText="1" indent="1" readingOrder="1"/>
    </xf>
    <xf numFmtId="0" fontId="9" fillId="8" borderId="6" xfId="0" applyFont="1" applyFill="1" applyBorder="1" applyAlignment="1">
      <alignment horizontal="left" vertical="center" wrapText="1" indent="1" readingOrder="1"/>
    </xf>
    <xf numFmtId="0" fontId="9" fillId="3" borderId="6" xfId="0" applyFont="1" applyFill="1" applyBorder="1" applyAlignment="1">
      <alignment horizontal="left" vertical="center" wrapText="1" indent="1" readingOrder="1"/>
    </xf>
    <xf numFmtId="0" fontId="8" fillId="6" borderId="6" xfId="0" applyFont="1" applyFill="1" applyBorder="1" applyAlignment="1">
      <alignment horizontal="left" vertical="center" wrapText="1" indent="1"/>
    </xf>
    <xf numFmtId="0" fontId="8" fillId="3" borderId="6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wrapText="1"/>
    </xf>
    <xf numFmtId="164" fontId="4" fillId="2" borderId="0" xfId="0" applyNumberFormat="1" applyFont="1" applyFill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9" fontId="4" fillId="2" borderId="0" xfId="0" applyNumberFormat="1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9" fontId="4" fillId="2" borderId="6" xfId="0" applyNumberFormat="1" applyFont="1" applyFill="1" applyBorder="1" applyAlignment="1">
      <alignment horizontal="center" vertical="center" wrapText="1"/>
    </xf>
    <xf numFmtId="164" fontId="4" fillId="2" borderId="6" xfId="6" applyNumberFormat="1" applyFont="1" applyFill="1" applyBorder="1" applyAlignment="1">
      <alignment horizontal="center" vertical="center" wrapText="1"/>
    </xf>
    <xf numFmtId="165" fontId="8" fillId="4" borderId="7" xfId="6" applyNumberFormat="1" applyFont="1" applyFill="1" applyBorder="1" applyAlignment="1">
      <alignment horizontal="right" vertical="center" wrapText="1" indent="1"/>
    </xf>
    <xf numFmtId="10" fontId="8" fillId="4" borderId="6" xfId="6" applyNumberFormat="1" applyFont="1" applyFill="1" applyBorder="1" applyAlignment="1">
      <alignment horizontal="right" vertical="center" wrapText="1" indent="1"/>
    </xf>
    <xf numFmtId="10" fontId="8" fillId="4" borderId="8" xfId="6" applyNumberFormat="1" applyFont="1" applyFill="1" applyBorder="1" applyAlignment="1">
      <alignment horizontal="right" vertical="center" wrapText="1" indent="1"/>
    </xf>
    <xf numFmtId="10" fontId="4" fillId="0" borderId="6" xfId="0" applyNumberFormat="1" applyFont="1" applyBorder="1" applyAlignment="1">
      <alignment wrapText="1"/>
    </xf>
    <xf numFmtId="0" fontId="11" fillId="0" borderId="6" xfId="0" applyFont="1" applyBorder="1" applyAlignment="1">
      <alignment horizontal="center" vertical="center" wrapText="1" indent="1"/>
    </xf>
    <xf numFmtId="0" fontId="12" fillId="3" borderId="0" xfId="0" applyFont="1" applyFill="1" applyAlignment="1">
      <alignment horizontal="left" vertical="center" indent="1"/>
    </xf>
    <xf numFmtId="0" fontId="11" fillId="0" borderId="3" xfId="0" applyFont="1" applyBorder="1" applyAlignment="1">
      <alignment horizontal="center" vertical="center" wrapText="1" indent="1"/>
    </xf>
    <xf numFmtId="0" fontId="11" fillId="0" borderId="4" xfId="0" applyFont="1" applyBorder="1" applyAlignment="1">
      <alignment horizontal="center" vertical="center" wrapText="1" indent="1"/>
    </xf>
    <xf numFmtId="0" fontId="11" fillId="0" borderId="5" xfId="0" applyFont="1" applyBorder="1" applyAlignment="1">
      <alignment horizontal="center" vertical="center" wrapText="1" indent="1"/>
    </xf>
  </cellXfs>
  <cellStyles count="7">
    <cellStyle name="Followed Hyperlink" xfId="4" builtinId="9" hidden="1"/>
    <cellStyle name="Followed Hyperlink" xfId="3" builtinId="9" hidden="1"/>
    <cellStyle name="Followed Hyperlink" xfId="2" builtinId="9" hidden="1"/>
    <cellStyle name="Hyperlink" xfId="1" builtinId="8" hidden="1"/>
    <cellStyle name="Normal" xfId="0" builtinId="0"/>
    <cellStyle name="Normal 2" xfId="5" xr:uid="{00000000-0005-0000-0000-000005000000}"/>
    <cellStyle name="Percent" xfId="6" builtinId="5"/>
  </cellStyles>
  <dxfs count="113"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A1:JR1062"/>
  <sheetViews>
    <sheetView showGridLines="0" tabSelected="1" zoomScale="70" zoomScaleNormal="70" workbookViewId="0">
      <pane ySplit="1" topLeftCell="D48" activePane="bottomLeft" state="frozen"/>
      <selection pane="bottomLeft" activeCell="M56" sqref="M56"/>
    </sheetView>
  </sheetViews>
  <sheetFormatPr defaultColWidth="11" defaultRowHeight="13.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17" style="2" customWidth="1"/>
    <col min="6" max="6" width="47.5" style="2" customWidth="1"/>
    <col min="7" max="7" width="21.5" style="2" bestFit="1" customWidth="1"/>
    <col min="8" max="8" width="17" style="2" bestFit="1" customWidth="1"/>
    <col min="9" max="9" width="15.375" style="2" bestFit="1" customWidth="1"/>
    <col min="10" max="10" width="14" style="2" bestFit="1" customWidth="1"/>
    <col min="11" max="11" width="35.125" style="2" bestFit="1" customWidth="1"/>
    <col min="12" max="12" width="29.625" style="2" bestFit="1" customWidth="1"/>
    <col min="13" max="13" width="11" style="26"/>
    <col min="14" max="14" width="9" style="2" customWidth="1"/>
    <col min="15" max="16384" width="11" style="2"/>
  </cols>
  <sheetData>
    <row r="1" spans="2:254" ht="29.25">
      <c r="B1" s="7" t="s">
        <v>0</v>
      </c>
      <c r="C1" s="7"/>
      <c r="D1"/>
      <c r="E1"/>
      <c r="F1"/>
      <c r="G1"/>
      <c r="H1"/>
      <c r="I1"/>
      <c r="J1"/>
      <c r="K1"/>
      <c r="L1"/>
      <c r="M1" s="2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</row>
    <row r="2" spans="2:254" ht="18">
      <c r="B2" s="39" t="s">
        <v>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</row>
    <row r="3" spans="2:254" s="4" customFormat="1" ht="60" customHeight="1">
      <c r="B3" s="24" t="s">
        <v>2</v>
      </c>
      <c r="M3" s="2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</row>
    <row r="4" spans="2:254" s="6" customFormat="1" ht="55.5" customHeight="1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3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</row>
    <row r="5" spans="2:254" s="6" customFormat="1" ht="39.75" customHeight="1">
      <c r="B5" s="40" t="s">
        <v>14</v>
      </c>
      <c r="C5" s="41"/>
      <c r="D5" s="41"/>
      <c r="E5" s="41"/>
      <c r="F5" s="41"/>
      <c r="G5" s="41"/>
      <c r="H5" s="41"/>
      <c r="I5" s="41"/>
      <c r="J5" s="41"/>
      <c r="K5" s="41"/>
      <c r="L5" s="42"/>
      <c r="M5" s="31"/>
    </row>
    <row r="6" spans="2:254" s="6" customFormat="1" ht="16.5">
      <c r="B6" s="10" t="s">
        <v>15</v>
      </c>
      <c r="C6" s="11" t="s">
        <v>16</v>
      </c>
      <c r="D6" s="12" t="s">
        <v>17</v>
      </c>
      <c r="E6" s="11" t="s">
        <v>18</v>
      </c>
      <c r="F6" s="13" t="s">
        <v>15</v>
      </c>
      <c r="G6" s="11"/>
      <c r="H6" s="14" t="str">
        <f>C7</f>
        <v>A2</v>
      </c>
      <c r="I6" s="14" t="s">
        <v>19</v>
      </c>
      <c r="J6" s="14"/>
      <c r="K6" s="14" t="s">
        <v>20</v>
      </c>
      <c r="L6" s="34">
        <f>(1/11)*M16</f>
        <v>4.5454545454545461E-3</v>
      </c>
      <c r="M6" s="3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</row>
    <row r="7" spans="2:254" s="6" customFormat="1" ht="16.5">
      <c r="B7" s="15" t="s">
        <v>21</v>
      </c>
      <c r="C7" s="16" t="s">
        <v>22</v>
      </c>
      <c r="D7" s="17" t="s">
        <v>23</v>
      </c>
      <c r="E7" s="16" t="s">
        <v>18</v>
      </c>
      <c r="F7" s="18" t="str">
        <f>B7</f>
        <v xml:space="preserve">Justificación del planteamiento del proyecto </v>
      </c>
      <c r="G7" s="16" t="str">
        <f>C6</f>
        <v>A1</v>
      </c>
      <c r="H7" s="19" t="str">
        <f t="shared" ref="H7:H11" si="0">C8</f>
        <v>A3</v>
      </c>
      <c r="I7" s="14" t="s">
        <v>19</v>
      </c>
      <c r="J7" s="19"/>
      <c r="K7" s="19" t="s">
        <v>20</v>
      </c>
      <c r="L7" s="34">
        <f>(1/11)*M16</f>
        <v>4.5454545454545461E-3</v>
      </c>
      <c r="M7" s="3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</row>
    <row r="8" spans="2:254" s="6" customFormat="1" ht="16.5">
      <c r="B8" s="15" t="s">
        <v>24</v>
      </c>
      <c r="C8" s="16" t="s">
        <v>25</v>
      </c>
      <c r="D8" s="20" t="s">
        <v>26</v>
      </c>
      <c r="E8" s="16" t="s">
        <v>27</v>
      </c>
      <c r="F8" s="18" t="str">
        <f t="shared" ref="F8:F16" si="1">B8</f>
        <v xml:space="preserve">Marco teoríco y conceptual del proyecto </v>
      </c>
      <c r="G8" s="16" t="str">
        <f t="shared" ref="G8:G12" si="2">C7</f>
        <v>A2</v>
      </c>
      <c r="H8" s="19" t="str">
        <f t="shared" si="0"/>
        <v>A4</v>
      </c>
      <c r="I8" s="14" t="s">
        <v>19</v>
      </c>
      <c r="J8" s="19"/>
      <c r="K8" s="19" t="s">
        <v>20</v>
      </c>
      <c r="L8" s="34">
        <f>(1/11)*M16</f>
        <v>4.5454545454545461E-3</v>
      </c>
      <c r="M8" s="3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</row>
    <row r="9" spans="2:254" s="6" customFormat="1" ht="30">
      <c r="B9" s="15" t="s">
        <v>28</v>
      </c>
      <c r="C9" s="16" t="s">
        <v>29</v>
      </c>
      <c r="D9" s="20" t="s">
        <v>30</v>
      </c>
      <c r="E9" s="16" t="s">
        <v>31</v>
      </c>
      <c r="F9" s="18" t="str">
        <f t="shared" si="1"/>
        <v xml:space="preserve">Identificación de objetivos generales y específicos del proyecto </v>
      </c>
      <c r="G9" s="16" t="str">
        <f t="shared" si="2"/>
        <v>A3</v>
      </c>
      <c r="H9" s="19" t="str">
        <f t="shared" si="0"/>
        <v>A5</v>
      </c>
      <c r="I9" s="14" t="s">
        <v>19</v>
      </c>
      <c r="J9" s="19"/>
      <c r="K9" s="19" t="s">
        <v>20</v>
      </c>
      <c r="L9" s="34">
        <f>(1/11)*M16</f>
        <v>4.5454545454545461E-3</v>
      </c>
      <c r="M9" s="3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</row>
    <row r="10" spans="2:254" s="6" customFormat="1" ht="16.5">
      <c r="B10" s="15" t="s">
        <v>32</v>
      </c>
      <c r="C10" s="16" t="s">
        <v>33</v>
      </c>
      <c r="D10" s="20" t="s">
        <v>34</v>
      </c>
      <c r="E10" s="16" t="s">
        <v>31</v>
      </c>
      <c r="F10" s="18" t="str">
        <f t="shared" si="1"/>
        <v xml:space="preserve">Delimitación y alcance del proyecto </v>
      </c>
      <c r="G10" s="16" t="str">
        <f t="shared" si="2"/>
        <v>A4</v>
      </c>
      <c r="H10" s="19" t="str">
        <f t="shared" si="0"/>
        <v>A6</v>
      </c>
      <c r="I10" s="14" t="s">
        <v>19</v>
      </c>
      <c r="J10" s="19"/>
      <c r="K10" s="19" t="s">
        <v>20</v>
      </c>
      <c r="L10" s="34">
        <f>(1/11)*M16</f>
        <v>4.5454545454545461E-3</v>
      </c>
      <c r="M10" s="3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</row>
    <row r="11" spans="2:254" s="6" customFormat="1" ht="16.5">
      <c r="B11" s="15" t="s">
        <v>35</v>
      </c>
      <c r="C11" s="16" t="s">
        <v>36</v>
      </c>
      <c r="D11" s="20" t="s">
        <v>37</v>
      </c>
      <c r="E11" s="16" t="s">
        <v>31</v>
      </c>
      <c r="F11" s="18" t="str">
        <f t="shared" si="1"/>
        <v xml:space="preserve">Problematica del proyecto </v>
      </c>
      <c r="G11" s="16" t="str">
        <f t="shared" si="2"/>
        <v>A5</v>
      </c>
      <c r="H11" s="19" t="str">
        <f t="shared" si="0"/>
        <v>A7</v>
      </c>
      <c r="I11" s="14" t="s">
        <v>19</v>
      </c>
      <c r="J11" s="19"/>
      <c r="K11" s="19" t="s">
        <v>20</v>
      </c>
      <c r="L11" s="34">
        <f>(1/11)*M16</f>
        <v>4.5454545454545461E-3</v>
      </c>
      <c r="M11" s="3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</row>
    <row r="12" spans="2:254" s="6" customFormat="1" ht="16.5">
      <c r="B12" s="15" t="s">
        <v>38</v>
      </c>
      <c r="C12" s="16" t="s">
        <v>39</v>
      </c>
      <c r="D12" s="20" t="s">
        <v>40</v>
      </c>
      <c r="E12" s="16" t="s">
        <v>31</v>
      </c>
      <c r="F12" s="18" t="str">
        <f t="shared" si="1"/>
        <v xml:space="preserve">Factibilidad del proyecto </v>
      </c>
      <c r="G12" s="16" t="str">
        <f t="shared" si="2"/>
        <v>A6</v>
      </c>
      <c r="H12" s="19" t="str">
        <f>C13</f>
        <v>A8</v>
      </c>
      <c r="I12" s="14" t="s">
        <v>19</v>
      </c>
      <c r="J12" s="19"/>
      <c r="K12" s="19" t="s">
        <v>20</v>
      </c>
      <c r="L12" s="34">
        <f>(1/11)*M16</f>
        <v>4.5454545454545461E-3</v>
      </c>
      <c r="M12" s="3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</row>
    <row r="13" spans="2:254" s="6" customFormat="1" ht="16.5">
      <c r="B13" s="15" t="s">
        <v>41</v>
      </c>
      <c r="C13" s="16" t="s">
        <v>42</v>
      </c>
      <c r="D13" s="20" t="s">
        <v>43</v>
      </c>
      <c r="E13" s="16" t="s">
        <v>31</v>
      </c>
      <c r="F13" s="18" t="str">
        <f t="shared" si="1"/>
        <v xml:space="preserve">Indentificación de stakeholders e interesados </v>
      </c>
      <c r="G13" s="16" t="str">
        <f>C12</f>
        <v>A7</v>
      </c>
      <c r="H13" s="19" t="str">
        <f t="shared" ref="H13:H15" si="3">C14</f>
        <v>A9</v>
      </c>
      <c r="I13" s="14" t="s">
        <v>19</v>
      </c>
      <c r="J13" s="19"/>
      <c r="K13" s="19" t="s">
        <v>20</v>
      </c>
      <c r="L13" s="34">
        <f>(1/11)*M16</f>
        <v>4.5454545454545461E-3</v>
      </c>
      <c r="M13" s="3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</row>
    <row r="14" spans="2:254" s="6" customFormat="1" ht="16.5">
      <c r="B14" s="15" t="s">
        <v>44</v>
      </c>
      <c r="C14" s="16" t="s">
        <v>45</v>
      </c>
      <c r="D14" s="20" t="s">
        <v>46</v>
      </c>
      <c r="E14" s="16" t="s">
        <v>31</v>
      </c>
      <c r="F14" s="18" t="str">
        <f t="shared" si="1"/>
        <v>Elaboracion de EDT</v>
      </c>
      <c r="G14" s="16" t="str">
        <f t="shared" ref="G14:G16" si="4">C13</f>
        <v>A8</v>
      </c>
      <c r="H14" s="19" t="str">
        <f t="shared" si="3"/>
        <v>A10</v>
      </c>
      <c r="I14" s="14" t="s">
        <v>19</v>
      </c>
      <c r="J14" s="19"/>
      <c r="K14" s="19" t="s">
        <v>20</v>
      </c>
      <c r="L14" s="34">
        <f>(1/11)*M16</f>
        <v>4.5454545454545461E-3</v>
      </c>
      <c r="M14" s="3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</row>
    <row r="15" spans="2:254" s="6" customFormat="1" ht="16.5">
      <c r="B15" s="15" t="s">
        <v>47</v>
      </c>
      <c r="C15" s="16" t="s">
        <v>48</v>
      </c>
      <c r="D15" s="20" t="s">
        <v>49</v>
      </c>
      <c r="E15" s="16" t="s">
        <v>31</v>
      </c>
      <c r="F15" s="18" t="str">
        <f t="shared" si="1"/>
        <v>Definir entregables principales</v>
      </c>
      <c r="G15" s="16" t="str">
        <f t="shared" si="4"/>
        <v>A9</v>
      </c>
      <c r="H15" s="19" t="str">
        <f t="shared" si="3"/>
        <v>A11</v>
      </c>
      <c r="I15" s="14" t="s">
        <v>19</v>
      </c>
      <c r="J15" s="19"/>
      <c r="K15" s="19" t="s">
        <v>20</v>
      </c>
      <c r="L15" s="34">
        <f>(1/11)*M16</f>
        <v>4.5454545454545461E-3</v>
      </c>
      <c r="M15" s="3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</row>
    <row r="16" spans="2:254" s="6" customFormat="1" ht="16.5">
      <c r="B16" s="15" t="s">
        <v>50</v>
      </c>
      <c r="C16" s="16" t="s">
        <v>51</v>
      </c>
      <c r="D16" s="20" t="s">
        <v>52</v>
      </c>
      <c r="E16" s="16" t="s">
        <v>31</v>
      </c>
      <c r="F16" s="18" t="str">
        <f t="shared" si="1"/>
        <v xml:space="preserve">Estimar recursos, costos y presupuesto </v>
      </c>
      <c r="G16" s="16" t="str">
        <f t="shared" si="4"/>
        <v>A10</v>
      </c>
      <c r="H16" s="19" t="str">
        <f>C18</f>
        <v>B1</v>
      </c>
      <c r="I16" s="14" t="s">
        <v>19</v>
      </c>
      <c r="J16" s="19"/>
      <c r="K16" s="19" t="s">
        <v>20</v>
      </c>
      <c r="L16" s="34">
        <f>(1/11)*M16</f>
        <v>4.5454545454545461E-3</v>
      </c>
      <c r="M16" s="32">
        <v>0.05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</row>
    <row r="17" spans="1:255" s="6" customFormat="1" ht="45" customHeight="1">
      <c r="B17" s="38" t="s">
        <v>53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</row>
    <row r="18" spans="1:255" s="6" customFormat="1" ht="16.5">
      <c r="B18" s="15" t="s">
        <v>54</v>
      </c>
      <c r="C18" s="16" t="s">
        <v>55</v>
      </c>
      <c r="D18" s="20" t="s">
        <v>56</v>
      </c>
      <c r="E18" s="16" t="s">
        <v>31</v>
      </c>
      <c r="F18" s="18" t="str">
        <f>B18</f>
        <v xml:space="preserve">Definición de requerimientos funcionales </v>
      </c>
      <c r="G18" s="16" t="str">
        <f>C16</f>
        <v>A11</v>
      </c>
      <c r="H18" s="19" t="str">
        <f>C19</f>
        <v>B2</v>
      </c>
      <c r="I18" s="14" t="s">
        <v>19</v>
      </c>
      <c r="J18" s="21"/>
      <c r="K18" s="19" t="s">
        <v>20</v>
      </c>
      <c r="L18" s="35">
        <f>(1/6)*M23</f>
        <v>8.3333333333333332E-3</v>
      </c>
      <c r="M18" s="3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</row>
    <row r="19" spans="1:255" s="6" customFormat="1" ht="16.5">
      <c r="B19" s="15" t="s">
        <v>57</v>
      </c>
      <c r="C19" s="16" t="s">
        <v>58</v>
      </c>
      <c r="D19" s="20" t="s">
        <v>59</v>
      </c>
      <c r="E19" s="16" t="s">
        <v>31</v>
      </c>
      <c r="F19" s="18" t="str">
        <f t="shared" ref="F19:F23" si="5">B19</f>
        <v xml:space="preserve">Creación de tablas de requerimientos funcionales </v>
      </c>
      <c r="G19" s="16" t="str">
        <f>C18</f>
        <v>B1</v>
      </c>
      <c r="H19" s="19" t="str">
        <f t="shared" ref="H19:H35" si="6">C20</f>
        <v>B3</v>
      </c>
      <c r="I19" s="14" t="s">
        <v>19</v>
      </c>
      <c r="J19" s="19"/>
      <c r="K19" s="19" t="s">
        <v>20</v>
      </c>
      <c r="L19" s="35">
        <f>(1/6)*M23</f>
        <v>8.3333333333333332E-3</v>
      </c>
      <c r="M19" s="3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</row>
    <row r="20" spans="1:255" s="6" customFormat="1" ht="16.5">
      <c r="B20" s="15" t="s">
        <v>60</v>
      </c>
      <c r="C20" s="16" t="s">
        <v>61</v>
      </c>
      <c r="D20" s="20" t="s">
        <v>62</v>
      </c>
      <c r="E20" s="16" t="s">
        <v>31</v>
      </c>
      <c r="F20" s="18" t="str">
        <f t="shared" si="5"/>
        <v xml:space="preserve">Definición de requerimientos no funcionales </v>
      </c>
      <c r="G20" s="16" t="str">
        <f t="shared" ref="G20:G22" si="7">C19</f>
        <v>B2</v>
      </c>
      <c r="H20" s="19" t="str">
        <f t="shared" si="6"/>
        <v>B4</v>
      </c>
      <c r="I20" s="14" t="s">
        <v>19</v>
      </c>
      <c r="J20" s="19"/>
      <c r="K20" s="19" t="s">
        <v>20</v>
      </c>
      <c r="L20" s="35">
        <f>(1/6)*M23</f>
        <v>8.3333333333333332E-3</v>
      </c>
      <c r="M20" s="3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</row>
    <row r="21" spans="1:255" s="6" customFormat="1" ht="30">
      <c r="B21" s="15" t="s">
        <v>63</v>
      </c>
      <c r="C21" s="16" t="s">
        <v>64</v>
      </c>
      <c r="D21" s="20" t="s">
        <v>65</v>
      </c>
      <c r="E21" s="16" t="s">
        <v>31</v>
      </c>
      <c r="F21" s="18" t="str">
        <f t="shared" si="5"/>
        <v xml:space="preserve">Creación de tablas de requerimientos no funcionales </v>
      </c>
      <c r="G21" s="16" t="str">
        <f t="shared" si="7"/>
        <v>B3</v>
      </c>
      <c r="H21" s="19" t="str">
        <f t="shared" si="6"/>
        <v>B5</v>
      </c>
      <c r="I21" s="14" t="s">
        <v>19</v>
      </c>
      <c r="J21" s="19"/>
      <c r="K21" s="19" t="s">
        <v>20</v>
      </c>
      <c r="L21" s="35">
        <f>(1/6)*M23</f>
        <v>8.3333333333333332E-3</v>
      </c>
      <c r="M21" s="3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</row>
    <row r="22" spans="1:255" s="6" customFormat="1" ht="30">
      <c r="B22" s="15" t="s">
        <v>66</v>
      </c>
      <c r="C22" s="16" t="s">
        <v>67</v>
      </c>
      <c r="D22" s="20" t="s">
        <v>68</v>
      </c>
      <c r="E22" s="16" t="s">
        <v>31</v>
      </c>
      <c r="F22" s="18" t="str">
        <f t="shared" si="5"/>
        <v xml:space="preserve">Planteamiento de casos de uso de requerimientos funcionales </v>
      </c>
      <c r="G22" s="16" t="str">
        <f t="shared" si="7"/>
        <v>B4</v>
      </c>
      <c r="H22" s="19" t="str">
        <f>C23</f>
        <v>B6</v>
      </c>
      <c r="I22" s="14" t="s">
        <v>19</v>
      </c>
      <c r="J22" s="21"/>
      <c r="K22" s="19" t="s">
        <v>20</v>
      </c>
      <c r="L22" s="35">
        <f>(1/6)*M23</f>
        <v>8.3333333333333332E-3</v>
      </c>
      <c r="M22" s="3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</row>
    <row r="23" spans="1:255" s="6" customFormat="1" ht="30">
      <c r="B23" s="15" t="s">
        <v>69</v>
      </c>
      <c r="C23" s="16" t="s">
        <v>70</v>
      </c>
      <c r="D23" s="20" t="s">
        <v>71</v>
      </c>
      <c r="E23" s="16" t="s">
        <v>31</v>
      </c>
      <c r="F23" s="18" t="str">
        <f t="shared" si="5"/>
        <v xml:space="preserve">Planteamiento de casos de uso de requerimientos no funcionales </v>
      </c>
      <c r="G23" s="16" t="str">
        <f>C22</f>
        <v>B5</v>
      </c>
      <c r="H23" s="19" t="str">
        <f>C25</f>
        <v>C1</v>
      </c>
      <c r="I23" s="14" t="s">
        <v>19</v>
      </c>
      <c r="J23" s="21"/>
      <c r="K23" s="19" t="s">
        <v>20</v>
      </c>
      <c r="L23" s="35">
        <f>(1/6)*M23</f>
        <v>8.3333333333333332E-3</v>
      </c>
      <c r="M23" s="33">
        <v>0.05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</row>
    <row r="24" spans="1:255" s="6" customFormat="1" ht="41.25" customHeight="1">
      <c r="B24" s="38" t="s">
        <v>72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</row>
    <row r="25" spans="1:255" s="6" customFormat="1" ht="16.5">
      <c r="B25" s="15" t="s">
        <v>73</v>
      </c>
      <c r="C25" s="16" t="s">
        <v>74</v>
      </c>
      <c r="D25" s="20" t="s">
        <v>75</v>
      </c>
      <c r="E25" s="16" t="s">
        <v>31</v>
      </c>
      <c r="F25" s="18" t="str">
        <f>B25</f>
        <v xml:space="preserve">Diagrama de flujo de datos </v>
      </c>
      <c r="G25" s="16" t="str">
        <f>C23</f>
        <v>B6</v>
      </c>
      <c r="H25" s="19" t="str">
        <f>C26</f>
        <v>C2</v>
      </c>
      <c r="I25" s="14" t="s">
        <v>19</v>
      </c>
      <c r="J25" s="21"/>
      <c r="K25" s="21" t="s">
        <v>76</v>
      </c>
      <c r="L25" s="35">
        <f>(1/3)*M27</f>
        <v>8.3333333333333332E-3</v>
      </c>
      <c r="M25" s="3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</row>
    <row r="26" spans="1:255" ht="16.5">
      <c r="A26" s="6"/>
      <c r="B26" s="15" t="s">
        <v>77</v>
      </c>
      <c r="C26" s="16" t="s">
        <v>78</v>
      </c>
      <c r="D26" s="20" t="s">
        <v>79</v>
      </c>
      <c r="E26" s="16" t="s">
        <v>31</v>
      </c>
      <c r="F26" s="18" t="str">
        <f t="shared" ref="F26:F27" si="8">B26</f>
        <v xml:space="preserve">Diagrama de arquitectura </v>
      </c>
      <c r="G26" s="16" t="str">
        <f>C25</f>
        <v>C1</v>
      </c>
      <c r="H26" s="19" t="str">
        <f>C27</f>
        <v>C3</v>
      </c>
      <c r="I26" s="14" t="s">
        <v>19</v>
      </c>
      <c r="J26" s="21"/>
      <c r="K26" s="21" t="s">
        <v>76</v>
      </c>
      <c r="L26" s="35">
        <f>(1/3)*M27</f>
        <v>8.3333333333333332E-3</v>
      </c>
      <c r="M26" s="3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</row>
    <row r="27" spans="1:255" ht="16.5">
      <c r="A27" s="6"/>
      <c r="B27" s="15" t="s">
        <v>80</v>
      </c>
      <c r="C27" s="16" t="s">
        <v>81</v>
      </c>
      <c r="D27" s="20" t="s">
        <v>82</v>
      </c>
      <c r="E27" s="16" t="s">
        <v>31</v>
      </c>
      <c r="F27" s="18" t="str">
        <f t="shared" si="8"/>
        <v xml:space="preserve">Diagrama entidad-relación </v>
      </c>
      <c r="G27" s="16" t="str">
        <f>C26</f>
        <v>C2</v>
      </c>
      <c r="H27" s="19" t="str">
        <f>C29</f>
        <v>D1</v>
      </c>
      <c r="I27" s="14" t="s">
        <v>19</v>
      </c>
      <c r="J27" s="21"/>
      <c r="K27" s="21" t="s">
        <v>76</v>
      </c>
      <c r="L27" s="35">
        <f>(1/3)*M27</f>
        <v>8.3333333333333332E-3</v>
      </c>
      <c r="M27" s="29">
        <v>2.5000000000000001E-2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</row>
    <row r="28" spans="1:255" ht="36" customHeight="1">
      <c r="B28" s="38" t="s">
        <v>83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</row>
    <row r="29" spans="1:255" ht="16.5">
      <c r="B29" s="22" t="s">
        <v>84</v>
      </c>
      <c r="C29" s="22" t="s">
        <v>85</v>
      </c>
      <c r="D29" s="17" t="s">
        <v>86</v>
      </c>
      <c r="E29" s="22" t="s">
        <v>87</v>
      </c>
      <c r="F29" s="18" t="str">
        <f>B29</f>
        <v xml:space="preserve">Mapa de navegación </v>
      </c>
      <c r="G29" s="16" t="str">
        <f>C27</f>
        <v>C3</v>
      </c>
      <c r="H29" s="19" t="str">
        <f t="shared" si="6"/>
        <v>D2</v>
      </c>
      <c r="I29" s="14" t="s">
        <v>19</v>
      </c>
      <c r="J29" s="22"/>
      <c r="K29" s="22" t="s">
        <v>20</v>
      </c>
      <c r="L29" s="35">
        <f>(1/3)*M31</f>
        <v>4.1666666666666664E-2</v>
      </c>
      <c r="M29" s="3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</row>
    <row r="30" spans="1:255" ht="16.5">
      <c r="B30" s="22" t="s">
        <v>88</v>
      </c>
      <c r="C30" s="22" t="s">
        <v>89</v>
      </c>
      <c r="D30" s="17" t="s">
        <v>90</v>
      </c>
      <c r="E30" s="22" t="s">
        <v>87</v>
      </c>
      <c r="F30" s="18" t="str">
        <f t="shared" ref="F30:F31" si="9">B30</f>
        <v xml:space="preserve">Mockups </v>
      </c>
      <c r="G30" s="16" t="str">
        <f t="shared" ref="G30:G31" si="10">C29</f>
        <v>D1</v>
      </c>
      <c r="H30" s="19" t="str">
        <f t="shared" si="6"/>
        <v>D3</v>
      </c>
      <c r="I30" s="14" t="s">
        <v>19</v>
      </c>
      <c r="J30" s="22"/>
      <c r="K30" s="22" t="s">
        <v>20</v>
      </c>
      <c r="L30" s="35">
        <f>(1/3)*M31</f>
        <v>4.1666666666666664E-2</v>
      </c>
      <c r="M30" s="3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</row>
    <row r="31" spans="1:255" ht="16.5">
      <c r="B31" s="22" t="s">
        <v>91</v>
      </c>
      <c r="C31" s="22" t="s">
        <v>92</v>
      </c>
      <c r="D31" s="17" t="s">
        <v>93</v>
      </c>
      <c r="E31" s="22" t="s">
        <v>87</v>
      </c>
      <c r="F31" s="18" t="str">
        <f t="shared" si="9"/>
        <v xml:space="preserve">Prototipo funcional </v>
      </c>
      <c r="G31" s="16" t="str">
        <f t="shared" si="10"/>
        <v>D2</v>
      </c>
      <c r="H31" s="19" t="str">
        <f>C33</f>
        <v>E1</v>
      </c>
      <c r="I31" s="14" t="s">
        <v>19</v>
      </c>
      <c r="J31" s="22"/>
      <c r="K31" s="22" t="s">
        <v>20</v>
      </c>
      <c r="L31" s="35">
        <f>(1/3)*M31</f>
        <v>4.1666666666666664E-2</v>
      </c>
      <c r="M31" s="29">
        <v>0.125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</row>
    <row r="32" spans="1:255" ht="40.5" customHeight="1">
      <c r="B32" s="38" t="s">
        <v>94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</row>
    <row r="33" spans="2:254" ht="16.5">
      <c r="B33" s="22" t="s">
        <v>95</v>
      </c>
      <c r="C33" s="22" t="s">
        <v>96</v>
      </c>
      <c r="D33" s="17" t="s">
        <v>97</v>
      </c>
      <c r="E33" s="22" t="s">
        <v>98</v>
      </c>
      <c r="F33" s="18" t="str">
        <f>B33</f>
        <v>Identificación y búsqueda de datasets</v>
      </c>
      <c r="G33" s="16" t="str">
        <f>C31</f>
        <v>D3</v>
      </c>
      <c r="H33" s="19" t="str">
        <f t="shared" si="6"/>
        <v>E2</v>
      </c>
      <c r="I33" s="14" t="s">
        <v>19</v>
      </c>
      <c r="J33" s="22"/>
      <c r="K33" s="22" t="s">
        <v>20</v>
      </c>
      <c r="L33" s="35">
        <f>(1/4)*M36</f>
        <v>0.05</v>
      </c>
      <c r="M33" s="3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</row>
    <row r="34" spans="2:254" ht="16.5">
      <c r="B34" s="22" t="s">
        <v>99</v>
      </c>
      <c r="C34" s="22" t="s">
        <v>100</v>
      </c>
      <c r="D34" s="17" t="s">
        <v>101</v>
      </c>
      <c r="E34" s="22" t="s">
        <v>98</v>
      </c>
      <c r="F34" s="18" t="str">
        <f t="shared" ref="F34:F36" si="11">B34</f>
        <v xml:space="preserve">Definición de hiperparámetros </v>
      </c>
      <c r="G34" s="16" t="str">
        <f t="shared" ref="G34:G36" si="12">C33</f>
        <v>E1</v>
      </c>
      <c r="H34" s="19" t="str">
        <f t="shared" si="6"/>
        <v>E3</v>
      </c>
      <c r="I34" s="14" t="s">
        <v>19</v>
      </c>
      <c r="J34" s="22"/>
      <c r="K34" s="22" t="s">
        <v>20</v>
      </c>
      <c r="L34" s="35">
        <f>(1/4)*M36</f>
        <v>0.05</v>
      </c>
      <c r="M34" s="3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</row>
    <row r="35" spans="2:254" ht="16.5">
      <c r="B35" s="22" t="s">
        <v>102</v>
      </c>
      <c r="C35" s="22" t="s">
        <v>103</v>
      </c>
      <c r="D35" s="17" t="s">
        <v>104</v>
      </c>
      <c r="E35" s="22" t="s">
        <v>98</v>
      </c>
      <c r="F35" s="18" t="str">
        <f t="shared" si="11"/>
        <v xml:space="preserve">Limpieza y procesamiento de imágenes </v>
      </c>
      <c r="G35" s="16" t="str">
        <f t="shared" si="12"/>
        <v>E2</v>
      </c>
      <c r="H35" s="19" t="str">
        <f t="shared" si="6"/>
        <v>E4</v>
      </c>
      <c r="I35" s="14" t="s">
        <v>19</v>
      </c>
      <c r="J35" s="22"/>
      <c r="K35" s="22" t="s">
        <v>20</v>
      </c>
      <c r="L35" s="35">
        <f>(1/4)*M36</f>
        <v>0.05</v>
      </c>
      <c r="M35" s="3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</row>
    <row r="36" spans="2:254" ht="16.5">
      <c r="B36" s="22" t="s">
        <v>105</v>
      </c>
      <c r="C36" s="22" t="s">
        <v>106</v>
      </c>
      <c r="D36" s="17" t="s">
        <v>107</v>
      </c>
      <c r="E36" s="22" t="s">
        <v>98</v>
      </c>
      <c r="F36" s="18" t="str">
        <f t="shared" si="11"/>
        <v xml:space="preserve">Entrenamiento del modelo </v>
      </c>
      <c r="G36" s="16" t="str">
        <f t="shared" si="12"/>
        <v>E3</v>
      </c>
      <c r="H36" s="19" t="str">
        <f>C38</f>
        <v>F1</v>
      </c>
      <c r="I36" s="14" t="s">
        <v>19</v>
      </c>
      <c r="J36" s="22"/>
      <c r="K36" s="22" t="s">
        <v>20</v>
      </c>
      <c r="L36" s="35">
        <f>(1/4)*M36</f>
        <v>0.05</v>
      </c>
      <c r="M36" s="29">
        <v>0.2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</row>
    <row r="37" spans="2:254" ht="37.5" customHeight="1">
      <c r="B37" s="38" t="s">
        <v>108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2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</row>
    <row r="38" spans="2:254" ht="16.5">
      <c r="B38" s="23" t="s">
        <v>109</v>
      </c>
      <c r="C38" s="22" t="s">
        <v>110</v>
      </c>
      <c r="D38" s="17" t="s">
        <v>111</v>
      </c>
      <c r="E38" s="22" t="s">
        <v>112</v>
      </c>
      <c r="F38" s="18" t="str">
        <f>B38</f>
        <v xml:space="preserve">Creación del modelo </v>
      </c>
      <c r="G38" s="16" t="str">
        <f>C36</f>
        <v>E4</v>
      </c>
      <c r="H38" s="19" t="str">
        <f>C40</f>
        <v>G1</v>
      </c>
      <c r="I38" s="14" t="s">
        <v>19</v>
      </c>
      <c r="J38" s="22"/>
      <c r="K38" s="22" t="s">
        <v>20</v>
      </c>
      <c r="L38" s="35">
        <f>M38</f>
        <v>0.1</v>
      </c>
      <c r="M38" s="29">
        <v>0.1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</row>
    <row r="39" spans="2:254" ht="42" customHeight="1">
      <c r="B39" s="38" t="s">
        <v>113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</row>
    <row r="40" spans="2:254" ht="16.5">
      <c r="B40" s="22" t="s">
        <v>114</v>
      </c>
      <c r="C40" s="22" t="s">
        <v>115</v>
      </c>
      <c r="D40" s="17" t="s">
        <v>116</v>
      </c>
      <c r="E40" s="22" t="s">
        <v>98</v>
      </c>
      <c r="F40" s="18" t="str">
        <f t="shared" ref="F40:F43" si="13">B40</f>
        <v xml:space="preserve">Montaje de infraestructura </v>
      </c>
      <c r="G40" s="16" t="str">
        <f>C38</f>
        <v>F1</v>
      </c>
      <c r="H40" s="19" t="str">
        <f t="shared" ref="H40:H42" si="14">C41</f>
        <v>G2</v>
      </c>
      <c r="I40" s="14" t="s">
        <v>19</v>
      </c>
      <c r="J40" s="22"/>
      <c r="K40" s="22" t="s">
        <v>20</v>
      </c>
      <c r="L40" s="35">
        <f>(1/4)*M43</f>
        <v>0.05</v>
      </c>
      <c r="M40" s="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</row>
    <row r="41" spans="2:254" ht="16.5">
      <c r="B41" s="22" t="s">
        <v>117</v>
      </c>
      <c r="C41" s="22" t="s">
        <v>118</v>
      </c>
      <c r="D41" s="17" t="s">
        <v>119</v>
      </c>
      <c r="E41" s="22" t="s">
        <v>98</v>
      </c>
      <c r="F41" s="18" t="str">
        <f t="shared" si="13"/>
        <v xml:space="preserve">Implementación de patrones de diseño </v>
      </c>
      <c r="G41" s="16" t="str">
        <f t="shared" ref="G41:G43" si="15">C40</f>
        <v>G1</v>
      </c>
      <c r="H41" s="19" t="str">
        <f t="shared" si="14"/>
        <v>G3</v>
      </c>
      <c r="I41" s="14" t="s">
        <v>19</v>
      </c>
      <c r="J41" s="22"/>
      <c r="K41" s="22" t="s">
        <v>20</v>
      </c>
      <c r="L41" s="35">
        <f>(1/4)*M43</f>
        <v>0.05</v>
      </c>
      <c r="M41" s="2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</row>
    <row r="42" spans="2:254" ht="16.5">
      <c r="B42" s="22" t="s">
        <v>120</v>
      </c>
      <c r="C42" s="22" t="s">
        <v>121</v>
      </c>
      <c r="D42" s="17" t="s">
        <v>122</v>
      </c>
      <c r="E42" s="22" t="s">
        <v>98</v>
      </c>
      <c r="F42" s="18" t="str">
        <f t="shared" si="13"/>
        <v xml:space="preserve">Creación de endpoints </v>
      </c>
      <c r="G42" s="16" t="str">
        <f t="shared" si="15"/>
        <v>G2</v>
      </c>
      <c r="H42" s="19" t="str">
        <f t="shared" si="14"/>
        <v>G4</v>
      </c>
      <c r="I42" s="14" t="s">
        <v>19</v>
      </c>
      <c r="J42" s="22"/>
      <c r="K42" s="22" t="s">
        <v>20</v>
      </c>
      <c r="L42" s="35">
        <f>(1/4)*M43</f>
        <v>0.05</v>
      </c>
      <c r="M42" s="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</row>
    <row r="43" spans="2:254" ht="16.5">
      <c r="B43" s="22" t="s">
        <v>123</v>
      </c>
      <c r="C43" s="22" t="s">
        <v>124</v>
      </c>
      <c r="D43" s="17" t="s">
        <v>125</v>
      </c>
      <c r="E43" s="22" t="s">
        <v>98</v>
      </c>
      <c r="F43" s="18" t="str">
        <f t="shared" si="13"/>
        <v xml:space="preserve">Integración con el modelo </v>
      </c>
      <c r="G43" s="16" t="str">
        <f t="shared" si="15"/>
        <v>G3</v>
      </c>
      <c r="H43" s="19" t="str">
        <f>C45</f>
        <v>H1</v>
      </c>
      <c r="I43" s="14" t="s">
        <v>19</v>
      </c>
      <c r="J43" s="22"/>
      <c r="K43" s="22" t="s">
        <v>20</v>
      </c>
      <c r="L43" s="35">
        <f>(1/4)*M43</f>
        <v>0.05</v>
      </c>
      <c r="M43" s="29">
        <v>0.2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</row>
    <row r="44" spans="2:254" ht="41.25" customHeight="1">
      <c r="B44" s="38" t="s">
        <v>126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2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</row>
    <row r="45" spans="2:254" ht="16.5">
      <c r="B45" s="22" t="s">
        <v>127</v>
      </c>
      <c r="C45" s="22" t="s">
        <v>128</v>
      </c>
      <c r="D45" s="17" t="s">
        <v>129</v>
      </c>
      <c r="E45" s="22" t="s">
        <v>87</v>
      </c>
      <c r="F45" s="18" t="str">
        <f t="shared" ref="F45:F50" si="16">B45</f>
        <v xml:space="preserve">Integración con dependencias </v>
      </c>
      <c r="G45" s="16" t="str">
        <f>C43</f>
        <v>G4</v>
      </c>
      <c r="H45" s="19" t="str">
        <f t="shared" ref="H45:H49" si="17">C46</f>
        <v>H2</v>
      </c>
      <c r="I45" s="14" t="s">
        <v>19</v>
      </c>
      <c r="J45" s="22"/>
      <c r="K45" s="22" t="s">
        <v>20</v>
      </c>
      <c r="L45" s="35">
        <f>(1/6)*M50</f>
        <v>3.3333333333333333E-2</v>
      </c>
      <c r="M45" s="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</row>
    <row r="46" spans="2:254" ht="16.5">
      <c r="B46" s="22" t="s">
        <v>130</v>
      </c>
      <c r="C46" s="22" t="s">
        <v>131</v>
      </c>
      <c r="D46" s="17" t="s">
        <v>132</v>
      </c>
      <c r="E46" s="22" t="s">
        <v>87</v>
      </c>
      <c r="F46" s="18" t="str">
        <f t="shared" si="16"/>
        <v xml:space="preserve">Configuración del framework </v>
      </c>
      <c r="G46" s="16" t="str">
        <f t="shared" ref="G46:G50" si="18">C45</f>
        <v>H1</v>
      </c>
      <c r="H46" s="19" t="str">
        <f t="shared" si="17"/>
        <v>H3</v>
      </c>
      <c r="I46" s="14" t="s">
        <v>19</v>
      </c>
      <c r="J46" s="22"/>
      <c r="K46" s="22" t="s">
        <v>20</v>
      </c>
      <c r="L46" s="35">
        <f>(1/6)*M50</f>
        <v>3.3333333333333333E-2</v>
      </c>
      <c r="M46" s="2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</row>
    <row r="47" spans="2:254" ht="16.5">
      <c r="B47" s="22" t="s">
        <v>133</v>
      </c>
      <c r="C47" s="22" t="s">
        <v>134</v>
      </c>
      <c r="D47" s="17" t="s">
        <v>135</v>
      </c>
      <c r="E47" s="22" t="s">
        <v>87</v>
      </c>
      <c r="F47" s="18" t="str">
        <f t="shared" si="16"/>
        <v xml:space="preserve">Creación de componentes </v>
      </c>
      <c r="G47" s="16" t="str">
        <f t="shared" si="18"/>
        <v>H2</v>
      </c>
      <c r="H47" s="19" t="str">
        <f t="shared" si="17"/>
        <v>H4</v>
      </c>
      <c r="I47" s="14" t="s">
        <v>19</v>
      </c>
      <c r="J47" s="22"/>
      <c r="K47" s="22" t="s">
        <v>20</v>
      </c>
      <c r="L47" s="35">
        <f>(1/6)*M50</f>
        <v>3.3333333333333333E-2</v>
      </c>
      <c r="M47" s="2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</row>
    <row r="48" spans="2:254" ht="16.5">
      <c r="B48" s="22" t="s">
        <v>136</v>
      </c>
      <c r="C48" s="22" t="s">
        <v>137</v>
      </c>
      <c r="D48" s="17" t="s">
        <v>138</v>
      </c>
      <c r="E48" s="22" t="s">
        <v>87</v>
      </c>
      <c r="F48" s="18" t="str">
        <f t="shared" si="16"/>
        <v xml:space="preserve">Configuración de manual de marca según diseño </v>
      </c>
      <c r="G48" s="16" t="str">
        <f t="shared" si="18"/>
        <v>H3</v>
      </c>
      <c r="H48" s="19" t="str">
        <f t="shared" si="17"/>
        <v>H5</v>
      </c>
      <c r="I48" s="14" t="s">
        <v>19</v>
      </c>
      <c r="J48" s="22"/>
      <c r="K48" s="22" t="s">
        <v>20</v>
      </c>
      <c r="L48" s="35">
        <f>(1/6)*M50</f>
        <v>3.3333333333333333E-2</v>
      </c>
      <c r="M48" s="2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</row>
    <row r="49" spans="2:254" ht="16.5">
      <c r="B49" s="22" t="s">
        <v>139</v>
      </c>
      <c r="C49" s="22" t="s">
        <v>140</v>
      </c>
      <c r="D49" s="17" t="s">
        <v>141</v>
      </c>
      <c r="E49" s="22" t="s">
        <v>87</v>
      </c>
      <c r="F49" s="18" t="str">
        <f t="shared" si="16"/>
        <v xml:space="preserve">Creación de interfaces principales </v>
      </c>
      <c r="G49" s="16" t="str">
        <f t="shared" si="18"/>
        <v>H4</v>
      </c>
      <c r="H49" s="19" t="str">
        <f t="shared" si="17"/>
        <v>H6</v>
      </c>
      <c r="I49" s="14" t="s">
        <v>19</v>
      </c>
      <c r="J49" s="22"/>
      <c r="K49" s="22" t="s">
        <v>20</v>
      </c>
      <c r="L49" s="35">
        <f>(1/6)*M50</f>
        <v>3.3333333333333333E-2</v>
      </c>
      <c r="M49" s="2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</row>
    <row r="50" spans="2:254" ht="16.5">
      <c r="B50" s="22" t="s">
        <v>142</v>
      </c>
      <c r="C50" s="22" t="s">
        <v>143</v>
      </c>
      <c r="D50" s="17" t="s">
        <v>144</v>
      </c>
      <c r="E50" s="22" t="s">
        <v>87</v>
      </c>
      <c r="F50" s="18" t="str">
        <f t="shared" si="16"/>
        <v>Integración con backend</v>
      </c>
      <c r="G50" s="16" t="str">
        <f t="shared" si="18"/>
        <v>H5</v>
      </c>
      <c r="H50" s="19" t="str">
        <f>C52</f>
        <v>I1</v>
      </c>
      <c r="I50" s="14" t="s">
        <v>19</v>
      </c>
      <c r="J50" s="22"/>
      <c r="K50" s="22" t="s">
        <v>20</v>
      </c>
      <c r="L50" s="35">
        <f>(1/6)*M50</f>
        <v>3.3333333333333333E-2</v>
      </c>
      <c r="M50" s="29">
        <v>0.2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</row>
    <row r="51" spans="2:254" ht="43.5" customHeight="1">
      <c r="B51" s="38" t="s">
        <v>145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</row>
    <row r="52" spans="2:254" ht="16.5">
      <c r="B52" s="22" t="s">
        <v>146</v>
      </c>
      <c r="C52" s="22" t="s">
        <v>147</v>
      </c>
      <c r="D52" s="17" t="s">
        <v>148</v>
      </c>
      <c r="E52" s="22" t="s">
        <v>149</v>
      </c>
      <c r="F52" s="18" t="str">
        <f>B52</f>
        <v xml:space="preserve">Pruebas funcionales </v>
      </c>
      <c r="G52" s="16" t="str">
        <f>C50</f>
        <v>H6</v>
      </c>
      <c r="H52" s="22"/>
      <c r="I52" s="22" t="s">
        <v>150</v>
      </c>
      <c r="J52" s="22"/>
      <c r="K52" s="22" t="s">
        <v>76</v>
      </c>
      <c r="L52" s="35">
        <f>M52</f>
        <v>2.5000000000000001E-2</v>
      </c>
      <c r="M52" s="29">
        <v>2.5000000000000001E-2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</row>
    <row r="53" spans="2:254" ht="42" customHeight="1">
      <c r="B53" s="38" t="s">
        <v>151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2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</row>
    <row r="54" spans="2:254" ht="16.5">
      <c r="B54" s="22" t="s">
        <v>152</v>
      </c>
      <c r="C54" s="22" t="s">
        <v>153</v>
      </c>
      <c r="D54" s="17" t="s">
        <v>154</v>
      </c>
      <c r="E54" s="22" t="s">
        <v>31</v>
      </c>
      <c r="F54" s="18" t="str">
        <f>B54</f>
        <v>Validar resultados con interesados</v>
      </c>
      <c r="G54" s="16" t="str">
        <f>C52</f>
        <v>I1</v>
      </c>
      <c r="H54" s="22"/>
      <c r="I54" s="22" t="s">
        <v>150</v>
      </c>
      <c r="J54" s="22"/>
      <c r="K54" s="22" t="s">
        <v>76</v>
      </c>
      <c r="L54" s="35">
        <f>(1/3)*M56</f>
        <v>8.3333333333333332E-3</v>
      </c>
      <c r="M54" s="2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</row>
    <row r="55" spans="2:254" ht="16.5">
      <c r="B55" s="22" t="s">
        <v>155</v>
      </c>
      <c r="C55" s="22" t="s">
        <v>156</v>
      </c>
      <c r="D55" s="17" t="s">
        <v>157</v>
      </c>
      <c r="E55" s="22" t="s">
        <v>31</v>
      </c>
      <c r="F55" s="18" t="str">
        <f t="shared" ref="F55:F56" si="19">B55</f>
        <v>Finalizacion del Informe Final</v>
      </c>
      <c r="G55" s="16"/>
      <c r="H55" s="22"/>
      <c r="I55" s="22" t="s">
        <v>150</v>
      </c>
      <c r="J55" s="22"/>
      <c r="K55" s="22" t="s">
        <v>20</v>
      </c>
      <c r="L55" s="35">
        <f>(1/3)*M56</f>
        <v>8.3333333333333332E-3</v>
      </c>
      <c r="M55" s="2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</row>
    <row r="56" spans="2:254" ht="16.5">
      <c r="B56" s="22" t="s">
        <v>158</v>
      </c>
      <c r="C56" s="22" t="s">
        <v>159</v>
      </c>
      <c r="D56" s="17" t="s">
        <v>160</v>
      </c>
      <c r="E56" s="22" t="s">
        <v>31</v>
      </c>
      <c r="F56" s="18" t="str">
        <f t="shared" si="19"/>
        <v>Realizar cierre del proyecto</v>
      </c>
      <c r="G56" s="16"/>
      <c r="H56" s="22"/>
      <c r="I56" s="22" t="s">
        <v>150</v>
      </c>
      <c r="J56" s="22"/>
      <c r="K56" s="27" t="s">
        <v>20</v>
      </c>
      <c r="L56" s="36">
        <f>(1/3)*M56</f>
        <v>8.3333333333333332E-3</v>
      </c>
      <c r="M56" s="29">
        <v>2.5000000000000001E-2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</row>
    <row r="57" spans="2:254">
      <c r="B57" s="1"/>
      <c r="C57" s="1"/>
      <c r="D57" s="1"/>
      <c r="E57" s="1"/>
      <c r="F57" s="1"/>
      <c r="G57" s="1"/>
      <c r="H57" s="1"/>
      <c r="I57" s="1"/>
      <c r="J57" s="1"/>
      <c r="K57" s="22" t="s">
        <v>161</v>
      </c>
      <c r="L57" s="37">
        <f>SUM(L54:L56,L52,L45:L50,L40:L43,L38,L33:L36,L29:L31,L25:L27,L18:L23,L6:L16)</f>
        <v>0.99999999999999944</v>
      </c>
      <c r="M57" s="29">
        <f>SUM(M16:M56)</f>
        <v>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</row>
    <row r="58" spans="2:25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</row>
    <row r="59" spans="2:25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</row>
    <row r="60" spans="2:25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5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</row>
    <row r="61" spans="2:25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</row>
    <row r="62" spans="2:254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5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</row>
    <row r="63" spans="2:25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</row>
    <row r="64" spans="2:25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5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</row>
    <row r="65" spans="2:254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</row>
    <row r="66" spans="2:254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5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</row>
    <row r="67" spans="2:254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</row>
    <row r="68" spans="2:25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5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</row>
    <row r="69" spans="2:25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</row>
    <row r="70" spans="2:254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</row>
    <row r="71" spans="2:254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5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</row>
    <row r="72" spans="2:254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</row>
    <row r="73" spans="2:254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</row>
    <row r="74" spans="2:25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</row>
    <row r="75" spans="2:254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5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</row>
    <row r="76" spans="2:254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</row>
    <row r="77" spans="2:254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5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</row>
    <row r="78" spans="2:254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</row>
    <row r="79" spans="2:254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</row>
    <row r="80" spans="2:254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</row>
    <row r="81" spans="2:254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5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</row>
    <row r="82" spans="2:254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</row>
    <row r="83" spans="2:254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5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</row>
    <row r="84" spans="2:25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</row>
    <row r="85" spans="2:254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5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</row>
    <row r="86" spans="2:254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</row>
    <row r="87" spans="2:25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5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</row>
    <row r="88" spans="2:25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</row>
    <row r="89" spans="2:254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5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</row>
    <row r="90" spans="2:254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</row>
    <row r="91" spans="2:254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5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</row>
    <row r="92" spans="2:254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5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</row>
    <row r="93" spans="2:254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5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</row>
    <row r="94" spans="2:25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5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</row>
    <row r="95" spans="2:25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5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</row>
    <row r="96" spans="2:25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5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</row>
    <row r="97" spans="2:254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5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</row>
    <row r="98" spans="2:254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</row>
    <row r="99" spans="2:25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5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</row>
    <row r="100" spans="2:25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5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</row>
    <row r="101" spans="2:254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5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</row>
    <row r="102" spans="2:254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5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</row>
    <row r="103" spans="2:25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5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</row>
    <row r="104" spans="2:25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5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</row>
    <row r="105" spans="2:254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5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</row>
    <row r="106" spans="2:254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</row>
    <row r="107" spans="2:254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5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</row>
    <row r="108" spans="2:25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5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</row>
    <row r="109" spans="2:254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5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</row>
    <row r="110" spans="2:254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5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</row>
    <row r="111" spans="2:25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5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</row>
    <row r="112" spans="2:25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5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</row>
    <row r="113" spans="2:254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5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</row>
    <row r="114" spans="2:25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</row>
    <row r="115" spans="2:25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</row>
    <row r="116" spans="2:25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</row>
    <row r="117" spans="2:254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</row>
    <row r="118" spans="2:254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</row>
    <row r="119" spans="2:254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</row>
    <row r="120" spans="2:254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</row>
    <row r="121" spans="2:254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</row>
    <row r="122" spans="2:254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</row>
    <row r="123" spans="2:254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</row>
    <row r="124" spans="2:25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</row>
    <row r="125" spans="2:254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</row>
    <row r="126" spans="2:25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</row>
    <row r="127" spans="2:254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</row>
    <row r="128" spans="2:254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</row>
    <row r="129" spans="2:254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</row>
    <row r="130" spans="2:25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</row>
    <row r="131" spans="2:254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</row>
    <row r="132" spans="2:254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</row>
    <row r="133" spans="2:254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</row>
    <row r="134" spans="2:25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</row>
    <row r="135" spans="2:254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</row>
    <row r="136" spans="2:254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</row>
    <row r="137" spans="2:254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</row>
    <row r="138" spans="2:254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</row>
    <row r="139" spans="2:254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</row>
    <row r="140" spans="2:254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</row>
    <row r="141" spans="2:254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</row>
    <row r="142" spans="2:254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</row>
    <row r="143" spans="2:254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</row>
    <row r="144" spans="2:25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</row>
    <row r="145" spans="2:254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</row>
    <row r="146" spans="2:254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</row>
    <row r="147" spans="2:254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</row>
    <row r="148" spans="2:254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</row>
    <row r="149" spans="2:254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</row>
    <row r="150" spans="2:254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</row>
    <row r="151" spans="2:254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</row>
    <row r="152" spans="2:254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</row>
    <row r="153" spans="2:254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</row>
    <row r="154" spans="2:2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</row>
    <row r="155" spans="2:254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</row>
    <row r="156" spans="2:254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</row>
    <row r="157" spans="2:254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</row>
    <row r="158" spans="2:254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</row>
    <row r="159" spans="2:254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</row>
    <row r="160" spans="2:254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</row>
    <row r="161" spans="2:254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</row>
    <row r="162" spans="2:254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</row>
    <row r="163" spans="2:254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</row>
    <row r="164" spans="2:25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</row>
    <row r="165" spans="2:254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</row>
    <row r="166" spans="2:254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</row>
    <row r="167" spans="2:254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</row>
    <row r="168" spans="2:254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</row>
    <row r="169" spans="2:254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</row>
    <row r="170" spans="2:254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</row>
    <row r="171" spans="2:254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</row>
    <row r="172" spans="2:254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</row>
    <row r="173" spans="2:254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</row>
    <row r="174" spans="2:25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</row>
    <row r="175" spans="2:254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</row>
    <row r="176" spans="2:254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</row>
    <row r="177" spans="2:254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</row>
    <row r="178" spans="2:254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</row>
    <row r="179" spans="2:254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</row>
    <row r="180" spans="2:254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</row>
    <row r="181" spans="2:254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</row>
    <row r="182" spans="2:254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</row>
    <row r="183" spans="2:254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</row>
    <row r="184" spans="2:25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</row>
    <row r="185" spans="2:254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</row>
    <row r="186" spans="2:254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</row>
    <row r="187" spans="2:254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</row>
    <row r="188" spans="2:254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</row>
    <row r="189" spans="2:254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</row>
    <row r="190" spans="2:254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</row>
    <row r="191" spans="2:254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</row>
    <row r="192" spans="2:254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</row>
    <row r="193" spans="2:254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</row>
    <row r="194" spans="2:25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</row>
    <row r="195" spans="2:254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</row>
    <row r="196" spans="2:254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</row>
    <row r="197" spans="2:254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</row>
    <row r="198" spans="2:254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</row>
    <row r="199" spans="2:254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</row>
    <row r="200" spans="2:254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</row>
    <row r="201" spans="2:254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</row>
    <row r="202" spans="2:254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</row>
    <row r="203" spans="2:254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</row>
    <row r="204" spans="2:25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</row>
    <row r="205" spans="2:254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</row>
    <row r="206" spans="2:254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</row>
    <row r="207" spans="2:254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</row>
    <row r="208" spans="2:254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</row>
    <row r="209" spans="2:254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</row>
    <row r="210" spans="2:254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</row>
    <row r="211" spans="2:254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</row>
    <row r="212" spans="2:254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</row>
    <row r="213" spans="2:254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</row>
    <row r="214" spans="2:25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</row>
    <row r="215" spans="2:254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</row>
    <row r="216" spans="2:254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</row>
    <row r="217" spans="2:254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</row>
    <row r="218" spans="2:254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</row>
    <row r="219" spans="2:254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</row>
    <row r="220" spans="2:254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</row>
    <row r="221" spans="2:254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</row>
    <row r="222" spans="2:254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</row>
    <row r="223" spans="2:254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</row>
    <row r="224" spans="2:25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</row>
    <row r="225" spans="2:254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</row>
    <row r="226" spans="2:254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</row>
    <row r="227" spans="2:254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</row>
    <row r="228" spans="2:254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</row>
    <row r="229" spans="2:254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</row>
    <row r="230" spans="2:254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</row>
    <row r="231" spans="2:254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</row>
    <row r="232" spans="2:254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</row>
    <row r="233" spans="2:254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</row>
    <row r="234" spans="2:25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</row>
    <row r="235" spans="2:254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</row>
    <row r="236" spans="2:254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</row>
    <row r="237" spans="2:254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</row>
    <row r="238" spans="2:254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</row>
    <row r="239" spans="2:254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</row>
    <row r="240" spans="2:254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</row>
    <row r="241" spans="2:254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</row>
    <row r="242" spans="2:254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</row>
    <row r="243" spans="2:254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</row>
    <row r="244" spans="2:25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</row>
    <row r="245" spans="2:254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</row>
    <row r="246" spans="2:254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</row>
    <row r="247" spans="2:254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</row>
    <row r="248" spans="2:254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</row>
    <row r="249" spans="2:254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</row>
    <row r="250" spans="2:254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</row>
    <row r="251" spans="2:254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</row>
    <row r="252" spans="2:254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</row>
    <row r="253" spans="2:254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</row>
    <row r="254" spans="2: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</row>
    <row r="255" spans="2:254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</row>
    <row r="256" spans="2:254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</row>
    <row r="257" spans="2:254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</row>
    <row r="258" spans="2:254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</row>
    <row r="259" spans="2:254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</row>
    <row r="260" spans="2:254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</row>
    <row r="261" spans="2:254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</row>
    <row r="262" spans="2:254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</row>
    <row r="263" spans="2:254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</row>
    <row r="264" spans="2:25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</row>
    <row r="265" spans="2:254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</row>
    <row r="266" spans="2:254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</row>
    <row r="267" spans="2:254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</row>
    <row r="268" spans="2:254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</row>
    <row r="269" spans="2:254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</row>
    <row r="270" spans="2:254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</row>
    <row r="271" spans="2:254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</row>
    <row r="272" spans="2:254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</row>
    <row r="273" spans="2:254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</row>
    <row r="274" spans="2:25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</row>
    <row r="275" spans="2:254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</row>
    <row r="276" spans="2:254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</row>
    <row r="277" spans="2:254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</row>
    <row r="278" spans="2:254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</row>
    <row r="279" spans="2:254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</row>
    <row r="280" spans="2:254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</row>
    <row r="281" spans="2:254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</row>
    <row r="282" spans="2:254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</row>
    <row r="283" spans="2:254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</row>
    <row r="284" spans="2:25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</row>
    <row r="285" spans="2:254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</row>
    <row r="286" spans="2:254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</row>
    <row r="287" spans="2:254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</row>
    <row r="288" spans="2:254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</row>
    <row r="289" spans="2:254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</row>
    <row r="290" spans="2:254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</row>
    <row r="291" spans="2:254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</row>
    <row r="292" spans="2:254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</row>
    <row r="293" spans="2:254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</row>
    <row r="294" spans="2:25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</row>
    <row r="295" spans="2:254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</row>
    <row r="296" spans="2:254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</row>
    <row r="297" spans="2:254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</row>
    <row r="298" spans="2:254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</row>
    <row r="299" spans="2:254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</row>
    <row r="300" spans="2:254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</row>
    <row r="301" spans="2:254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</row>
    <row r="302" spans="2:254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</row>
    <row r="303" spans="2:254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</row>
    <row r="304" spans="2:25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</row>
    <row r="305" spans="2:254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</row>
    <row r="306" spans="2:254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</row>
    <row r="307" spans="2:254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</row>
    <row r="308" spans="2:254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</row>
    <row r="309" spans="2:254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</row>
    <row r="310" spans="2:254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</row>
    <row r="311" spans="2:254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</row>
    <row r="312" spans="2:254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</row>
    <row r="313" spans="2:254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</row>
    <row r="314" spans="2:25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</row>
    <row r="315" spans="2:254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</row>
    <row r="316" spans="2:254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</row>
    <row r="317" spans="2:254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</row>
    <row r="318" spans="2:254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</row>
    <row r="319" spans="2:254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</row>
    <row r="320" spans="2:254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</row>
    <row r="321" spans="2:254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</row>
    <row r="322" spans="2:254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</row>
    <row r="323" spans="2:254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</row>
    <row r="324" spans="2:25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</row>
    <row r="325" spans="2:254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</row>
    <row r="326" spans="2:254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</row>
    <row r="327" spans="2:254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</row>
    <row r="328" spans="2:254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</row>
    <row r="329" spans="2:254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</row>
    <row r="330" spans="2:254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</row>
    <row r="331" spans="2:254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</row>
    <row r="332" spans="2:254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</row>
    <row r="333" spans="2:254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</row>
    <row r="334" spans="2:25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</row>
    <row r="335" spans="2:254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</row>
    <row r="336" spans="2:254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</row>
    <row r="337" spans="2:254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</row>
    <row r="338" spans="2:254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</row>
    <row r="339" spans="2:254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</row>
    <row r="340" spans="2:254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</row>
    <row r="341" spans="2:254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</row>
    <row r="342" spans="2:254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</row>
    <row r="343" spans="2:254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</row>
    <row r="344" spans="2:25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</row>
    <row r="345" spans="2:254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</row>
    <row r="346" spans="2:254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</row>
    <row r="347" spans="2:254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</row>
    <row r="348" spans="2:25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</row>
    <row r="349" spans="2:254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</row>
    <row r="350" spans="2:254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</row>
    <row r="351" spans="2:254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</row>
    <row r="352" spans="2:254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</row>
    <row r="353" spans="2:254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</row>
    <row r="354" spans="2:2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</row>
    <row r="355" spans="2:254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</row>
    <row r="356" spans="2:254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</row>
    <row r="357" spans="2:254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</row>
    <row r="358" spans="2:254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</row>
    <row r="359" spans="2:254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</row>
    <row r="360" spans="2:254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</row>
    <row r="361" spans="2:254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</row>
    <row r="362" spans="2:254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</row>
    <row r="363" spans="2:254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</row>
    <row r="364" spans="2:25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</row>
    <row r="365" spans="2:254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</row>
    <row r="366" spans="2:254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</row>
    <row r="367" spans="2:254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</row>
    <row r="368" spans="2:254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</row>
    <row r="369" spans="2:278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</row>
    <row r="370" spans="2:278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</row>
    <row r="371" spans="2:278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</row>
    <row r="372" spans="2:278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</row>
    <row r="373" spans="2:278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</row>
    <row r="374" spans="2:278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</row>
    <row r="375" spans="2:278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</row>
    <row r="376" spans="2:278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</row>
    <row r="377" spans="2:278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</row>
    <row r="378" spans="2:2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</row>
    <row r="379" spans="2:278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</row>
    <row r="380" spans="2:278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</row>
    <row r="381" spans="2:278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</row>
    <row r="382" spans="2:278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</row>
    <row r="383" spans="2:278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</row>
    <row r="384" spans="2:278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</row>
    <row r="385" spans="2:278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</row>
    <row r="386" spans="2:278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</row>
    <row r="387" spans="2:278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</row>
    <row r="388" spans="2:27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</row>
    <row r="389" spans="2:278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</row>
    <row r="390" spans="2:278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</row>
    <row r="391" spans="2:278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</row>
    <row r="392" spans="2:278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</row>
    <row r="393" spans="2:278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</row>
    <row r="394" spans="2:278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</row>
    <row r="395" spans="2:278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</row>
    <row r="396" spans="2:278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</row>
    <row r="397" spans="2:278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</row>
    <row r="398" spans="2:27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</row>
    <row r="399" spans="2:278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</row>
    <row r="400" spans="2:278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</row>
    <row r="401" spans="2:278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</row>
    <row r="402" spans="2:278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</row>
    <row r="403" spans="2:278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</row>
    <row r="404" spans="2:278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</row>
    <row r="405" spans="2:278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</row>
    <row r="406" spans="2:278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</row>
    <row r="407" spans="2:278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</row>
    <row r="408" spans="2:27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</row>
    <row r="409" spans="2:278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</row>
    <row r="410" spans="2:278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</row>
    <row r="411" spans="2:278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</row>
    <row r="412" spans="2:278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</row>
    <row r="413" spans="2:278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</row>
    <row r="414" spans="2:278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</row>
    <row r="415" spans="2:278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</row>
    <row r="416" spans="2:278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</row>
    <row r="417" spans="2:278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</row>
    <row r="418" spans="2:27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</row>
    <row r="419" spans="2:278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</row>
    <row r="420" spans="2:278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</row>
    <row r="421" spans="2:278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</row>
    <row r="422" spans="2:278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</row>
    <row r="423" spans="2:278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</row>
    <row r="424" spans="2:278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</row>
    <row r="425" spans="2:278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</row>
    <row r="426" spans="2:278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</row>
    <row r="427" spans="2:278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</row>
    <row r="428" spans="2:27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</row>
    <row r="429" spans="2:278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</row>
    <row r="430" spans="2:278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</row>
    <row r="431" spans="2:278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</row>
    <row r="432" spans="2:278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</row>
    <row r="433" spans="2:278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</row>
    <row r="434" spans="2:278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</row>
    <row r="435" spans="2:278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</row>
    <row r="436" spans="2:278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</row>
    <row r="437" spans="2:278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</row>
    <row r="438" spans="2:27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</row>
    <row r="439" spans="2:278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</row>
    <row r="440" spans="2:278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</row>
    <row r="441" spans="2:278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</row>
    <row r="442" spans="2:278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</row>
    <row r="443" spans="2:278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</row>
    <row r="444" spans="2:278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</row>
    <row r="445" spans="2:278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</row>
    <row r="446" spans="2:278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</row>
    <row r="447" spans="2:278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</row>
    <row r="448" spans="2:27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</row>
    <row r="449" spans="2:278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</row>
    <row r="450" spans="2:278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</row>
    <row r="451" spans="2:278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</row>
    <row r="452" spans="2:278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</row>
    <row r="453" spans="2:278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</row>
    <row r="454" spans="2:278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</row>
    <row r="455" spans="2:278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</row>
    <row r="456" spans="2:278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</row>
    <row r="457" spans="2:278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</row>
    <row r="458" spans="2:27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</row>
    <row r="459" spans="2:278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</row>
    <row r="460" spans="2:278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</row>
    <row r="461" spans="2:278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</row>
    <row r="462" spans="2:278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</row>
    <row r="463" spans="2:278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</row>
    <row r="464" spans="2:278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</row>
    <row r="465" spans="2:278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</row>
    <row r="466" spans="2:278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</row>
    <row r="467" spans="2:278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</row>
    <row r="468" spans="2:27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</row>
    <row r="469" spans="2:278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</row>
    <row r="470" spans="2:278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</row>
    <row r="471" spans="2:278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</row>
    <row r="472" spans="2:278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</row>
    <row r="473" spans="2:278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</row>
    <row r="474" spans="2:278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</row>
    <row r="475" spans="2:278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</row>
    <row r="476" spans="2:278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</row>
    <row r="477" spans="2:278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</row>
    <row r="478" spans="2:2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</row>
    <row r="479" spans="2:278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</row>
    <row r="480" spans="2:278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</row>
    <row r="481" spans="2:278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</row>
    <row r="482" spans="2:278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</row>
    <row r="483" spans="2:278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</row>
    <row r="484" spans="2:278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</row>
    <row r="485" spans="2:278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</row>
    <row r="486" spans="2:278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</row>
    <row r="487" spans="2:278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</row>
    <row r="488" spans="2:27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</row>
    <row r="489" spans="2:278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</row>
    <row r="490" spans="2:278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</row>
    <row r="491" spans="2:278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</row>
    <row r="492" spans="2:278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</row>
    <row r="493" spans="2:278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</row>
    <row r="494" spans="2:278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</row>
    <row r="495" spans="2:278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</row>
    <row r="496" spans="2:278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</row>
    <row r="497" spans="2:278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</row>
    <row r="498" spans="2:27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</row>
    <row r="499" spans="2:278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</row>
    <row r="500" spans="2:278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</row>
    <row r="501" spans="2:278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</row>
    <row r="502" spans="2:278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</row>
    <row r="503" spans="2:278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</row>
    <row r="504" spans="2:278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</row>
    <row r="505" spans="2:278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</row>
    <row r="506" spans="2:278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</row>
    <row r="507" spans="2:278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</row>
    <row r="508" spans="2:27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</row>
    <row r="509" spans="2:278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</row>
    <row r="510" spans="2:278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</row>
    <row r="511" spans="2:278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</row>
    <row r="512" spans="2:278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</row>
    <row r="513" spans="2:278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</row>
    <row r="514" spans="2:278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</row>
    <row r="515" spans="2:278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</row>
    <row r="516" spans="2:278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</row>
    <row r="517" spans="2:278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</row>
    <row r="518" spans="2:27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</row>
    <row r="519" spans="2:278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</row>
    <row r="520" spans="2:278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</row>
    <row r="521" spans="2:278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</row>
    <row r="522" spans="2:278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</row>
    <row r="523" spans="2:278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</row>
    <row r="524" spans="2:278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</row>
    <row r="525" spans="2:278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</row>
    <row r="526" spans="2:278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</row>
    <row r="527" spans="2:278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</row>
    <row r="528" spans="2:27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</row>
    <row r="529" spans="2:278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</row>
    <row r="530" spans="2:278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</row>
    <row r="531" spans="2:278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</row>
    <row r="532" spans="2:278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</row>
    <row r="533" spans="2:278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</row>
    <row r="534" spans="2:278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</row>
    <row r="535" spans="2:278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</row>
    <row r="536" spans="2:278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</row>
    <row r="537" spans="2:278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</row>
    <row r="538" spans="2:27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</row>
    <row r="539" spans="2:278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</row>
    <row r="540" spans="2:278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</row>
    <row r="541" spans="2:278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</row>
    <row r="542" spans="2:278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</row>
    <row r="543" spans="2:278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</row>
    <row r="544" spans="2:278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</row>
    <row r="545" spans="2:278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</row>
    <row r="546" spans="2:278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</row>
    <row r="547" spans="2:278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</row>
    <row r="548" spans="2:27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</row>
    <row r="549" spans="2:278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</row>
    <row r="550" spans="2:278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</row>
    <row r="551" spans="2:278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</row>
    <row r="552" spans="2:278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</row>
    <row r="553" spans="2:278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</row>
    <row r="554" spans="2:278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</row>
    <row r="555" spans="2:278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</row>
    <row r="556" spans="2:278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</row>
    <row r="557" spans="2:278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</row>
    <row r="558" spans="2:27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</row>
    <row r="559" spans="2:278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</row>
    <row r="560" spans="2:278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</row>
    <row r="561" spans="2:278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</row>
    <row r="562" spans="2:278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</row>
    <row r="563" spans="2:278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</row>
    <row r="564" spans="2:278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</row>
    <row r="565" spans="2:278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</row>
    <row r="566" spans="2:278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</row>
    <row r="567" spans="2:278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</row>
    <row r="568" spans="2:27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</row>
    <row r="569" spans="2:278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</row>
    <row r="570" spans="2:278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</row>
    <row r="571" spans="2:278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</row>
    <row r="572" spans="2:278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</row>
    <row r="573" spans="2:278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</row>
    <row r="574" spans="2:278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</row>
    <row r="575" spans="2:278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</row>
    <row r="576" spans="2:278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</row>
    <row r="577" spans="2:278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</row>
    <row r="578" spans="2:2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</row>
    <row r="579" spans="2:278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</row>
    <row r="580" spans="2:278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</row>
    <row r="581" spans="2:278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</row>
    <row r="582" spans="2:278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</row>
    <row r="583" spans="2:278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</row>
    <row r="584" spans="2:278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</row>
    <row r="585" spans="2:278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</row>
    <row r="586" spans="2:278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</row>
    <row r="587" spans="2:278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</row>
    <row r="588" spans="2:27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</row>
    <row r="589" spans="2:278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</row>
    <row r="590" spans="2:278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</row>
    <row r="591" spans="2:278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</row>
    <row r="592" spans="2:278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</row>
    <row r="593" spans="2:278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</row>
    <row r="594" spans="2:278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</row>
    <row r="595" spans="2:278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</row>
    <row r="596" spans="2:278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</row>
    <row r="597" spans="2:278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</row>
    <row r="598" spans="2:27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</row>
    <row r="599" spans="2:278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</row>
    <row r="600" spans="2:278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</row>
    <row r="601" spans="2:278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</row>
    <row r="602" spans="2:278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</row>
    <row r="603" spans="2:278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</row>
    <row r="604" spans="2:278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</row>
    <row r="605" spans="2:278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</row>
    <row r="606" spans="2:278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</row>
    <row r="607" spans="2:278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</row>
    <row r="608" spans="2:27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</row>
    <row r="609" spans="2:278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</row>
    <row r="610" spans="2:278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</row>
    <row r="611" spans="2:278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</row>
    <row r="612" spans="2:278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</row>
    <row r="613" spans="2:278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</row>
    <row r="614" spans="2:278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</row>
    <row r="615" spans="2:278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</row>
    <row r="616" spans="2:278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</row>
    <row r="617" spans="2:278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</row>
    <row r="618" spans="2:27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</row>
    <row r="619" spans="2:278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</row>
    <row r="620" spans="2:278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</row>
    <row r="621" spans="2:278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</row>
    <row r="622" spans="2:278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</row>
    <row r="623" spans="2:278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</row>
    <row r="624" spans="2:278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</row>
    <row r="625" spans="2:278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</row>
    <row r="626" spans="2:278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</row>
    <row r="627" spans="2:278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</row>
    <row r="628" spans="2:27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</row>
    <row r="629" spans="2:278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</row>
    <row r="630" spans="2:278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</row>
    <row r="631" spans="2:278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</row>
    <row r="632" spans="2:278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</row>
    <row r="633" spans="2:278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</row>
    <row r="634" spans="2:278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</row>
    <row r="635" spans="2:278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</row>
    <row r="636" spans="2:278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</row>
    <row r="637" spans="2:278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</row>
    <row r="638" spans="2:27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</row>
    <row r="639" spans="2:278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</row>
    <row r="640" spans="2:278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</row>
    <row r="641" spans="2:278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</row>
    <row r="642" spans="2:278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</row>
    <row r="643" spans="2:278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</row>
    <row r="644" spans="2:278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</row>
    <row r="645" spans="2:278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</row>
    <row r="646" spans="2:278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</row>
    <row r="647" spans="2:278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</row>
    <row r="648" spans="2:27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</row>
    <row r="649" spans="2:278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</row>
    <row r="650" spans="2:278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</row>
    <row r="651" spans="2:278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</row>
    <row r="652" spans="2:278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</row>
    <row r="653" spans="2:278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</row>
    <row r="654" spans="2:278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</row>
    <row r="655" spans="2:278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</row>
    <row r="656" spans="2:278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</row>
    <row r="657" spans="2:278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</row>
    <row r="658" spans="2:27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</row>
    <row r="659" spans="2:278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</row>
    <row r="660" spans="2:278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</row>
    <row r="661" spans="2:278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</row>
    <row r="662" spans="2:278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</row>
    <row r="663" spans="2:278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</row>
    <row r="664" spans="2:278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</row>
    <row r="665" spans="2:278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</row>
    <row r="666" spans="2:278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</row>
    <row r="667" spans="2:278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</row>
    <row r="668" spans="2:27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</row>
    <row r="669" spans="2:278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</row>
    <row r="670" spans="2:278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</row>
    <row r="671" spans="2:278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</row>
    <row r="672" spans="2:278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</row>
    <row r="673" spans="2:278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</row>
    <row r="674" spans="2:278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</row>
    <row r="675" spans="2:278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</row>
    <row r="676" spans="2:278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</row>
    <row r="677" spans="2:278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</row>
    <row r="678" spans="2:2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</row>
    <row r="679" spans="2:278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</row>
    <row r="680" spans="2:278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</row>
    <row r="681" spans="2:278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</row>
    <row r="682" spans="2:278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</row>
    <row r="683" spans="2:278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</row>
    <row r="684" spans="2:278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</row>
    <row r="685" spans="2:278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</row>
    <row r="686" spans="2:278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</row>
    <row r="687" spans="2:278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</row>
    <row r="688" spans="2:27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</row>
    <row r="689" spans="2:278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</row>
    <row r="690" spans="2:278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</row>
    <row r="691" spans="2:278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</row>
    <row r="692" spans="2:278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</row>
    <row r="693" spans="2:278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</row>
    <row r="694" spans="2:278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</row>
    <row r="695" spans="2:278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</row>
    <row r="696" spans="2:278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</row>
    <row r="697" spans="2:278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</row>
    <row r="698" spans="2:27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</row>
    <row r="699" spans="2:278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</row>
    <row r="700" spans="2:278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</row>
    <row r="701" spans="2:278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</row>
    <row r="702" spans="2:278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</row>
    <row r="703" spans="2:278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</row>
    <row r="704" spans="2:278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</row>
    <row r="705" spans="2:278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</row>
    <row r="706" spans="2:278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</row>
    <row r="707" spans="2:278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</row>
    <row r="708" spans="2:27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</row>
    <row r="709" spans="2:278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</row>
    <row r="710" spans="2:278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</row>
    <row r="711" spans="2:278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</row>
    <row r="712" spans="2:278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</row>
    <row r="713" spans="2:278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</row>
    <row r="714" spans="2:278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</row>
    <row r="715" spans="2:278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</row>
    <row r="716" spans="2:278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</row>
    <row r="717" spans="2:278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</row>
    <row r="718" spans="2:27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</row>
    <row r="719" spans="2:278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</row>
    <row r="720" spans="2:278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</row>
    <row r="721" spans="2:278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</row>
    <row r="722" spans="2:278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</row>
    <row r="723" spans="2:278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</row>
    <row r="724" spans="2:278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</row>
    <row r="725" spans="2:278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</row>
    <row r="726" spans="2:278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</row>
    <row r="727" spans="2:278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</row>
    <row r="728" spans="2:27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</row>
    <row r="729" spans="2:278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</row>
    <row r="730" spans="2:278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</row>
    <row r="731" spans="2:278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</row>
    <row r="732" spans="2:278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</row>
    <row r="733" spans="2:278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</row>
    <row r="734" spans="2:278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</row>
    <row r="735" spans="2:278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</row>
    <row r="736" spans="2:278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</row>
    <row r="737" spans="2:278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</row>
    <row r="738" spans="2:27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</row>
    <row r="739" spans="2:278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</row>
    <row r="740" spans="2:278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</row>
    <row r="741" spans="2:278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</row>
    <row r="742" spans="2:278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</row>
    <row r="743" spans="2:278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</row>
    <row r="744" spans="2:278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</row>
    <row r="745" spans="2:278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</row>
    <row r="746" spans="2:278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</row>
    <row r="747" spans="2:278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</row>
    <row r="748" spans="2:27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</row>
    <row r="749" spans="2:278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</row>
    <row r="750" spans="2:278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</row>
    <row r="751" spans="2:278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</row>
    <row r="752" spans="2:278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</row>
    <row r="753" spans="2:278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</row>
    <row r="754" spans="2:278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</row>
    <row r="755" spans="2:278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</row>
    <row r="756" spans="2:278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</row>
    <row r="757" spans="2:278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</row>
    <row r="758" spans="2:27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</row>
    <row r="759" spans="2:278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</row>
    <row r="760" spans="2:278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</row>
    <row r="761" spans="2:278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</row>
    <row r="762" spans="2:278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</row>
    <row r="763" spans="2:278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</row>
    <row r="764" spans="2:278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</row>
    <row r="765" spans="2:278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</row>
    <row r="766" spans="2:278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</row>
    <row r="767" spans="2:278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</row>
    <row r="768" spans="2:27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</row>
    <row r="769" spans="2:278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</row>
    <row r="770" spans="2:278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</row>
    <row r="771" spans="2:278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</row>
    <row r="772" spans="2:278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</row>
    <row r="773" spans="2:278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</row>
    <row r="774" spans="2:278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</row>
    <row r="775" spans="2:278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</row>
    <row r="776" spans="2:278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</row>
    <row r="777" spans="2:278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</row>
    <row r="778" spans="2:2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</row>
    <row r="779" spans="2:278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</row>
    <row r="780" spans="2:278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</row>
    <row r="781" spans="2:278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</row>
    <row r="782" spans="2:278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</row>
    <row r="783" spans="2:278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</row>
    <row r="784" spans="2:278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</row>
    <row r="785" spans="2:278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</row>
    <row r="786" spans="2:278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</row>
    <row r="787" spans="2:278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</row>
    <row r="788" spans="2:27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</row>
    <row r="789" spans="2:278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</row>
    <row r="790" spans="2:278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</row>
    <row r="791" spans="2:278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</row>
    <row r="792" spans="2:278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</row>
    <row r="793" spans="2:278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</row>
    <row r="794" spans="2:278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</row>
    <row r="795" spans="2:278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</row>
    <row r="796" spans="2:278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</row>
    <row r="797" spans="2:278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</row>
    <row r="798" spans="2:27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</row>
    <row r="799" spans="2:278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</row>
    <row r="800" spans="2:278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</row>
    <row r="801" spans="2:278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</row>
    <row r="802" spans="2:278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</row>
    <row r="803" spans="2:278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</row>
    <row r="804" spans="2:278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</row>
    <row r="805" spans="2:278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</row>
    <row r="806" spans="2:278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</row>
    <row r="807" spans="2:278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</row>
    <row r="808" spans="2:27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</row>
    <row r="809" spans="2:278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</row>
    <row r="810" spans="2:278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</row>
    <row r="811" spans="2:278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</row>
    <row r="812" spans="2:278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</row>
    <row r="813" spans="2:278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</row>
    <row r="814" spans="2:278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</row>
    <row r="815" spans="2:278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</row>
    <row r="816" spans="2:278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</row>
    <row r="817" spans="2:278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</row>
    <row r="818" spans="2:27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</row>
    <row r="819" spans="2:278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</row>
    <row r="820" spans="2:278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</row>
    <row r="821" spans="2:278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</row>
    <row r="822" spans="2:278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</row>
    <row r="823" spans="2:278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</row>
    <row r="824" spans="2:278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</row>
    <row r="825" spans="2:278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</row>
    <row r="826" spans="2:278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</row>
    <row r="827" spans="2:278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</row>
    <row r="828" spans="2:27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</row>
    <row r="829" spans="2:278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</row>
    <row r="830" spans="2:278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</row>
    <row r="831" spans="2:278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</row>
    <row r="832" spans="2:278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</row>
    <row r="833" spans="2:278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</row>
    <row r="834" spans="2:278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</row>
    <row r="835" spans="2:278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</row>
    <row r="836" spans="2:278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</row>
    <row r="837" spans="2:278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</row>
    <row r="838" spans="2:27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</row>
    <row r="839" spans="2:278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</row>
    <row r="840" spans="2:278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</row>
    <row r="841" spans="2:278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</row>
    <row r="842" spans="2:278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</row>
    <row r="843" spans="2:278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</row>
    <row r="844" spans="2:278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</row>
    <row r="845" spans="2:278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</row>
    <row r="846" spans="2:278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</row>
    <row r="847" spans="2:278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</row>
    <row r="848" spans="2:27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</row>
    <row r="849" spans="2:278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</row>
    <row r="850" spans="2:278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</row>
    <row r="851" spans="2:278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</row>
    <row r="852" spans="2:278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</row>
    <row r="853" spans="2:278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</row>
    <row r="854" spans="2:278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</row>
    <row r="855" spans="2:278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</row>
    <row r="856" spans="2:278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</row>
    <row r="857" spans="2:278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</row>
    <row r="858" spans="2:27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</row>
    <row r="859" spans="2:278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</row>
    <row r="860" spans="2:278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</row>
    <row r="861" spans="2:278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</row>
    <row r="862" spans="2:278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</row>
    <row r="863" spans="2:278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</row>
    <row r="864" spans="2:278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</row>
    <row r="865" spans="2:278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</row>
    <row r="866" spans="2:278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</row>
    <row r="867" spans="2:278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</row>
    <row r="868" spans="2:27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</row>
    <row r="869" spans="2:278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</row>
    <row r="870" spans="2:278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</row>
    <row r="871" spans="2:278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</row>
    <row r="872" spans="2:278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</row>
    <row r="873" spans="2:278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</row>
    <row r="874" spans="2:278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</row>
    <row r="875" spans="2:278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</row>
    <row r="876" spans="2:278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</row>
    <row r="877" spans="2:278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</row>
    <row r="878" spans="2:2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</row>
    <row r="879" spans="2:278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</row>
    <row r="880" spans="2:278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</row>
    <row r="881" spans="2:278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</row>
    <row r="882" spans="2:278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</row>
    <row r="883" spans="2:278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</row>
    <row r="884" spans="2:278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</row>
    <row r="885" spans="2:278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</row>
    <row r="886" spans="2:278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</row>
    <row r="887" spans="2:278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</row>
    <row r="888" spans="2:27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</row>
    <row r="889" spans="2:278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</row>
    <row r="890" spans="2:278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</row>
    <row r="891" spans="2:278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</row>
    <row r="892" spans="2:278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</row>
    <row r="893" spans="2:278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</row>
    <row r="894" spans="2:278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</row>
    <row r="895" spans="2:278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</row>
    <row r="896" spans="2:278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</row>
    <row r="897" spans="2:278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</row>
    <row r="898" spans="2:27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</row>
    <row r="899" spans="2:278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</row>
    <row r="900" spans="2:278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</row>
    <row r="901" spans="2:278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</row>
    <row r="902" spans="2:278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</row>
    <row r="903" spans="2:278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</row>
    <row r="904" spans="2:278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</row>
    <row r="905" spans="2:278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</row>
    <row r="906" spans="2:278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</row>
    <row r="907" spans="2:278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</row>
    <row r="908" spans="2:27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</row>
    <row r="909" spans="2:278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</row>
    <row r="910" spans="2:278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</row>
    <row r="911" spans="2:278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</row>
    <row r="912" spans="2:278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</row>
    <row r="913" spans="2:278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</row>
    <row r="914" spans="2:278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</row>
    <row r="915" spans="2:278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</row>
    <row r="916" spans="2:278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</row>
    <row r="917" spans="2:278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</row>
    <row r="918" spans="2:27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</row>
    <row r="919" spans="2:278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</row>
    <row r="920" spans="2:278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</row>
    <row r="921" spans="2:278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</row>
    <row r="922" spans="2:278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</row>
    <row r="923" spans="2:278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</row>
    <row r="924" spans="2:278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</row>
    <row r="925" spans="2:278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</row>
    <row r="926" spans="2:278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</row>
    <row r="927" spans="2:278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</row>
    <row r="928" spans="2:27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</row>
    <row r="929" spans="2:278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</row>
    <row r="930" spans="2:278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</row>
    <row r="931" spans="2:278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</row>
    <row r="932" spans="2:278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</row>
    <row r="933" spans="2:278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</row>
    <row r="934" spans="2:278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</row>
    <row r="935" spans="2:278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</row>
    <row r="936" spans="2:278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</row>
    <row r="937" spans="2:278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</row>
    <row r="938" spans="2:27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</row>
    <row r="939" spans="2:278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</row>
    <row r="940" spans="2:278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</row>
    <row r="941" spans="2:278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</row>
    <row r="942" spans="2:278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</row>
    <row r="943" spans="2:278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</row>
    <row r="944" spans="2:278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</row>
    <row r="945" spans="2:278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</row>
    <row r="946" spans="2:278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</row>
    <row r="947" spans="2:278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</row>
    <row r="948" spans="2:27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</row>
    <row r="949" spans="2:278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</row>
    <row r="950" spans="2:278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</row>
    <row r="951" spans="2:278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</row>
    <row r="952" spans="2:278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</row>
    <row r="953" spans="2:278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</row>
    <row r="954" spans="2:278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</row>
    <row r="955" spans="2:278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</row>
    <row r="956" spans="2:278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</row>
    <row r="957" spans="2:278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</row>
    <row r="958" spans="2:27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</row>
    <row r="959" spans="2:278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</row>
    <row r="960" spans="2:278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</row>
    <row r="961" spans="2:278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</row>
    <row r="962" spans="2:278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</row>
    <row r="963" spans="2:278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</row>
    <row r="964" spans="2:278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</row>
    <row r="965" spans="2:278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</row>
    <row r="966" spans="2:278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</row>
    <row r="967" spans="2:278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</row>
    <row r="968" spans="2:27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</row>
    <row r="969" spans="2:278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</row>
    <row r="970" spans="2:278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</row>
    <row r="971" spans="2:278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</row>
    <row r="972" spans="2:278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</row>
    <row r="973" spans="2:278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</row>
    <row r="974" spans="2:278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</row>
    <row r="975" spans="2:278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5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</row>
    <row r="976" spans="2:278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5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</row>
    <row r="977" spans="2:278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5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</row>
    <row r="978" spans="2:2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5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</row>
    <row r="979" spans="2:278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5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</row>
    <row r="980" spans="2:278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5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</row>
    <row r="981" spans="2:278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5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</row>
    <row r="982" spans="2:278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5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</row>
    <row r="983" spans="2:278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5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</row>
    <row r="984" spans="2:278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5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</row>
    <row r="985" spans="2:278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5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</row>
    <row r="986" spans="2:278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5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</row>
    <row r="987" spans="2:278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5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</row>
    <row r="988" spans="2:27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5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</row>
    <row r="989" spans="2:278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5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</row>
    <row r="990" spans="2:278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5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</row>
    <row r="991" spans="2:278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5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</row>
    <row r="992" spans="2:278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5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</row>
    <row r="993" spans="2:278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5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</row>
    <row r="994" spans="2:278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5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</row>
    <row r="995" spans="2:278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5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</row>
    <row r="996" spans="2:278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5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</row>
    <row r="997" spans="2:278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5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</row>
    <row r="998" spans="2:27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5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</row>
    <row r="999" spans="2:278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5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</row>
    <row r="1000" spans="2:278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5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</row>
    <row r="1001" spans="2:278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5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</row>
    <row r="1002" spans="2:278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5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</row>
    <row r="1003" spans="2:278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5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</row>
    <row r="1004" spans="2:278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5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</row>
    <row r="1005" spans="2:278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5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</row>
    <row r="1006" spans="2:278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5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</row>
    <row r="1007" spans="2:278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5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</row>
    <row r="1008" spans="2:278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5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</row>
    <row r="1009" spans="2:278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5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</row>
    <row r="1010" spans="2:278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5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</row>
    <row r="1011" spans="2:278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5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</row>
    <row r="1012" spans="2:278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5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</row>
    <row r="1013" spans="2:278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5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</row>
    <row r="1014" spans="2:278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5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</row>
    <row r="1015" spans="2:278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25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</row>
    <row r="1016" spans="2:278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25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</row>
    <row r="1017" spans="2:278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5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</row>
    <row r="1018" spans="2:278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25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</row>
    <row r="1019" spans="2:278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25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</row>
    <row r="1020" spans="2:278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25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</row>
    <row r="1021" spans="2:278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25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</row>
    <row r="1022" spans="2:278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5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</row>
    <row r="1023" spans="2:278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5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</row>
    <row r="1024" spans="2:278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25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</row>
    <row r="1025" spans="2:278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25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</row>
    <row r="1026" spans="2:278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25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</row>
    <row r="1027" spans="2:278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25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</row>
    <row r="1028" spans="2:278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5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</row>
    <row r="1029" spans="2:278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5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</row>
    <row r="1030" spans="2:278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25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</row>
    <row r="1031" spans="2:278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25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</row>
    <row r="1032" spans="2:278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25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</row>
    <row r="1033" spans="2:278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25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</row>
    <row r="1034" spans="2:278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25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</row>
    <row r="1035" spans="2:278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5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</row>
    <row r="1036" spans="2:278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5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</row>
    <row r="1037" spans="2:278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25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</row>
    <row r="1038" spans="2:278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25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</row>
    <row r="1039" spans="2:278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25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</row>
    <row r="1040" spans="2:278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25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</row>
    <row r="1041" spans="2:278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25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</row>
    <row r="1042" spans="2:278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25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</row>
    <row r="1043" spans="2:278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25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</row>
    <row r="1044" spans="2:278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25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</row>
    <row r="1045" spans="2:278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25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</row>
    <row r="1046" spans="2:278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25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</row>
    <row r="1047" spans="2:278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25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</row>
    <row r="1048" spans="2:278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25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</row>
    <row r="1049" spans="2:278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25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</row>
    <row r="1050" spans="2:278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5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</row>
    <row r="1051" spans="2:278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5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</row>
    <row r="1052" spans="2:278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25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</row>
    <row r="1053" spans="2:278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25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</row>
    <row r="1054" spans="2:278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25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</row>
    <row r="1055" spans="2:278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25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</row>
    <row r="1056" spans="2:278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25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</row>
    <row r="1057" spans="2:278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25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</row>
    <row r="1058" spans="2:278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25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</row>
    <row r="1059" spans="2:278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25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</row>
    <row r="1060" spans="2:278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25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</row>
    <row r="1061" spans="2:278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25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</row>
    <row r="1062" spans="2:278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25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</row>
  </sheetData>
  <mergeCells count="11">
    <mergeCell ref="B53:L53"/>
    <mergeCell ref="B2:L2"/>
    <mergeCell ref="B5:L5"/>
    <mergeCell ref="B17:L17"/>
    <mergeCell ref="B24:L24"/>
    <mergeCell ref="B28:L28"/>
    <mergeCell ref="B51:L51"/>
    <mergeCell ref="B32:L32"/>
    <mergeCell ref="B37:L37"/>
    <mergeCell ref="B39:L39"/>
    <mergeCell ref="B44:L44"/>
  </mergeCells>
  <phoneticPr fontId="3" type="noConversion"/>
  <conditionalFormatting sqref="B1:B2">
    <cfRule type="containsText" dxfId="112" priority="168" operator="containsText" text="in progress">
      <formula>NOT(ISERROR(SEARCH("in progress",B1)))</formula>
    </cfRule>
    <cfRule type="containsText" dxfId="111" priority="169" operator="containsText" text="complete">
      <formula>NOT(ISERROR(SEARCH("complete",B1)))</formula>
    </cfRule>
  </conditionalFormatting>
  <conditionalFormatting sqref="B1:C2 C38 C29:C31 C33:C36 C40:C43 C45:C50 C52 C18:C23 C25:C27 C54:C1048576">
    <cfRule type="containsText" dxfId="110" priority="164" operator="containsText" text="overdue">
      <formula>NOT(ISERROR(SEARCH("overdue",B1)))</formula>
    </cfRule>
    <cfRule type="containsText" dxfId="109" priority="165" operator="containsText" text="approved">
      <formula>NOT(ISERROR(SEARCH("approved",B1)))</formula>
    </cfRule>
    <cfRule type="containsText" dxfId="108" priority="166" operator="containsText" text="needs review">
      <formula>NOT(ISERROR(SEARCH("needs review",B1)))</formula>
    </cfRule>
    <cfRule type="containsText" dxfId="107" priority="167" operator="containsText" text="on hold">
      <formula>NOT(ISERROR(SEARCH("on hold",B1)))</formula>
    </cfRule>
  </conditionalFormatting>
  <conditionalFormatting sqref="C1:C2 C38 C29:C31 C33:C36 C40:C43 C45:C50 C52 C6:C16 C18:C23 C25:C27 C54:C1048576">
    <cfRule type="containsText" dxfId="106" priority="182" operator="containsText" text="Completado">
      <formula>NOT(ISERROR(SEARCH("Completado",C1)))</formula>
    </cfRule>
  </conditionalFormatting>
  <conditionalFormatting sqref="C1:C2 C38 C29:C31 C33:C36 C40:C43 C45:C50 C52 C6:C16 C18:C23 C25:C27 C54:C1048576">
    <cfRule type="containsText" dxfId="105" priority="181" operator="containsText" text="En curso">
      <formula>NOT(ISERROR(SEARCH("En curso",C1)))</formula>
    </cfRule>
  </conditionalFormatting>
  <conditionalFormatting sqref="C6:C16">
    <cfRule type="containsText" dxfId="104" priority="173" operator="containsText" text="overdue">
      <formula>NOT(ISERROR(SEARCH("overdue",C6)))</formula>
    </cfRule>
    <cfRule type="containsText" dxfId="103" priority="174" operator="containsText" text="approved">
      <formula>NOT(ISERROR(SEARCH("approved",C6)))</formula>
    </cfRule>
    <cfRule type="containsText" dxfId="102" priority="175" operator="containsText" text="needs review">
      <formula>NOT(ISERROR(SEARCH("needs review",C6)))</formula>
    </cfRule>
    <cfRule type="containsText" dxfId="101" priority="180" operator="containsText" text="on hold">
      <formula>NOT(ISERROR(SEARCH("on hold",C6)))</formula>
    </cfRule>
  </conditionalFormatting>
  <conditionalFormatting sqref="L52 C6:L16 C18:L23 C25:L27">
    <cfRule type="containsText" dxfId="100" priority="170" operator="containsText" text="Sin iniciar">
      <formula>NOT(ISERROR(SEARCH("Sin iniciar",C6)))</formula>
    </cfRule>
    <cfRule type="containsText" dxfId="99" priority="171" operator="containsText" text="Bloqueado">
      <formula>NOT(ISERROR(SEARCH("Bloqueado",C6)))</formula>
    </cfRule>
  </conditionalFormatting>
  <conditionalFormatting sqref="D1:E2 D27:F27 D38:E38 D52:E52 D29:E31 D40:E43 D18:E23 D25:E26 D26:D27 E25:E27 D6:E16 D54:E1048576 D33:E36 D45:E50">
    <cfRule type="containsText" dxfId="98" priority="178" operator="containsText" text="Medio">
      <formula>NOT(ISERROR(SEARCH("Medio",D1)))</formula>
    </cfRule>
    <cfRule type="containsText" dxfId="97" priority="179" operator="containsText" text="Alto">
      <formula>NOT(ISERROR(SEARCH("Alto",D1)))</formula>
    </cfRule>
  </conditionalFormatting>
  <conditionalFormatting sqref="D1:E2 D27:F27 D38:E38 D52:E52 D29:E31 D40:E43 D18:E23 D25:E26 D26:D27 E25:E27 D6:E16 D54:E1048576 D33:E36 D45:E50">
    <cfRule type="containsText" dxfId="96" priority="177" operator="containsText" text="Baja">
      <formula>NOT(ISERROR(SEARCH("Baja",D1)))</formula>
    </cfRule>
  </conditionalFormatting>
  <conditionalFormatting sqref="C27:D27">
    <cfRule type="containsText" dxfId="95" priority="163" operator="containsText" text="Completado">
      <formula>NOT(ISERROR(SEARCH("Completado",C27)))</formula>
    </cfRule>
  </conditionalFormatting>
  <conditionalFormatting sqref="C27:D27">
    <cfRule type="containsText" dxfId="94" priority="162" operator="containsText" text="En curso">
      <formula>NOT(ISERROR(SEARCH("En curso",C27)))</formula>
    </cfRule>
  </conditionalFormatting>
  <conditionalFormatting sqref="C27:D27">
    <cfRule type="containsText" dxfId="93" priority="157" operator="containsText" text="overdue">
      <formula>NOT(ISERROR(SEARCH("overdue",C27)))</formula>
    </cfRule>
    <cfRule type="containsText" dxfId="92" priority="158" operator="containsText" text="approved">
      <formula>NOT(ISERROR(SEARCH("approved",C27)))</formula>
    </cfRule>
    <cfRule type="containsText" dxfId="91" priority="159" operator="containsText" text="needs review">
      <formula>NOT(ISERROR(SEARCH("needs review",C27)))</formula>
    </cfRule>
    <cfRule type="containsText" dxfId="90" priority="161" operator="containsText" text="on hold">
      <formula>NOT(ISERROR(SEARCH("on hold",C27)))</formula>
    </cfRule>
  </conditionalFormatting>
  <conditionalFormatting sqref="L27"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{B4C75C49-0AAE-4C2F-ADFE-AC535F5ED46D}</x14:id>
        </ext>
      </extLst>
    </cfRule>
  </conditionalFormatting>
  <conditionalFormatting sqref="L18:L23 L52 L25:L27 L6:L16"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conditionalFormatting sqref="D29:D31">
    <cfRule type="containsText" dxfId="89" priority="155" operator="containsText" text="Sin iniciar">
      <formula>NOT(ISERROR(SEARCH("Sin iniciar",D29)))</formula>
    </cfRule>
    <cfRule type="containsText" dxfId="88" priority="156" operator="containsText" text="Bloqueado">
      <formula>NOT(ISERROR(SEARCH("Bloqueado",D29)))</formula>
    </cfRule>
  </conditionalFormatting>
  <conditionalFormatting sqref="D33:D36">
    <cfRule type="containsText" dxfId="87" priority="153" operator="containsText" text="Sin iniciar">
      <formula>NOT(ISERROR(SEARCH("Sin iniciar",D33)))</formula>
    </cfRule>
    <cfRule type="containsText" dxfId="86" priority="154" operator="containsText" text="Bloqueado">
      <formula>NOT(ISERROR(SEARCH("Bloqueado",D33)))</formula>
    </cfRule>
  </conditionalFormatting>
  <conditionalFormatting sqref="D38">
    <cfRule type="containsText" dxfId="85" priority="151" operator="containsText" text="Sin iniciar">
      <formula>NOT(ISERROR(SEARCH("Sin iniciar",D38)))</formula>
    </cfRule>
    <cfRule type="containsText" dxfId="84" priority="152" operator="containsText" text="Bloqueado">
      <formula>NOT(ISERROR(SEARCH("Bloqueado",D38)))</formula>
    </cfRule>
  </conditionalFormatting>
  <conditionalFormatting sqref="D40:D43">
    <cfRule type="containsText" dxfId="83" priority="149" operator="containsText" text="Sin iniciar">
      <formula>NOT(ISERROR(SEARCH("Sin iniciar",D40)))</formula>
    </cfRule>
    <cfRule type="containsText" dxfId="82" priority="150" operator="containsText" text="Bloqueado">
      <formula>NOT(ISERROR(SEARCH("Bloqueado",D40)))</formula>
    </cfRule>
  </conditionalFormatting>
  <conditionalFormatting sqref="D45:D50">
    <cfRule type="containsText" dxfId="81" priority="147" operator="containsText" text="Sin iniciar">
      <formula>NOT(ISERROR(SEARCH("Sin iniciar",D45)))</formula>
    </cfRule>
    <cfRule type="containsText" dxfId="80" priority="148" operator="containsText" text="Bloqueado">
      <formula>NOT(ISERROR(SEARCH("Bloqueado",D45)))</formula>
    </cfRule>
  </conditionalFormatting>
  <conditionalFormatting sqref="D52">
    <cfRule type="containsText" dxfId="79" priority="145" operator="containsText" text="Sin iniciar">
      <formula>NOT(ISERROR(SEARCH("Sin iniciar",D52)))</formula>
    </cfRule>
    <cfRule type="containsText" dxfId="78" priority="146" operator="containsText" text="Bloqueado">
      <formula>NOT(ISERROR(SEARCH("Bloqueado",D52)))</formula>
    </cfRule>
  </conditionalFormatting>
  <conditionalFormatting sqref="F29:F31">
    <cfRule type="containsText" dxfId="77" priority="143" operator="containsText" text="Sin iniciar">
      <formula>NOT(ISERROR(SEARCH("Sin iniciar",F29)))</formula>
    </cfRule>
    <cfRule type="containsText" dxfId="76" priority="144" operator="containsText" text="Bloqueado">
      <formula>NOT(ISERROR(SEARCH("Bloqueado",F29)))</formula>
    </cfRule>
  </conditionalFormatting>
  <conditionalFormatting sqref="F33:F36">
    <cfRule type="containsText" dxfId="75" priority="141" operator="containsText" text="Sin iniciar">
      <formula>NOT(ISERROR(SEARCH("Sin iniciar",F33)))</formula>
    </cfRule>
    <cfRule type="containsText" dxfId="74" priority="142" operator="containsText" text="Bloqueado">
      <formula>NOT(ISERROR(SEARCH("Bloqueado",F33)))</formula>
    </cfRule>
  </conditionalFormatting>
  <conditionalFormatting sqref="F38">
    <cfRule type="containsText" dxfId="73" priority="135" operator="containsText" text="Sin iniciar">
      <formula>NOT(ISERROR(SEARCH("Sin iniciar",F38)))</formula>
    </cfRule>
    <cfRule type="containsText" dxfId="72" priority="136" operator="containsText" text="Bloqueado">
      <formula>NOT(ISERROR(SEARCH("Bloqueado",F38)))</formula>
    </cfRule>
  </conditionalFormatting>
  <conditionalFormatting sqref="F40:F43">
    <cfRule type="containsText" dxfId="71" priority="129" operator="containsText" text="Sin iniciar">
      <formula>NOT(ISERROR(SEARCH("Sin iniciar",F40)))</formula>
    </cfRule>
    <cfRule type="containsText" dxfId="70" priority="130" operator="containsText" text="Bloqueado">
      <formula>NOT(ISERROR(SEARCH("Bloqueado",F40)))</formula>
    </cfRule>
  </conditionalFormatting>
  <conditionalFormatting sqref="F45:F50">
    <cfRule type="containsText" dxfId="69" priority="127" operator="containsText" text="Sin iniciar">
      <formula>NOT(ISERROR(SEARCH("Sin iniciar",F45)))</formula>
    </cfRule>
    <cfRule type="containsText" dxfId="68" priority="128" operator="containsText" text="Bloqueado">
      <formula>NOT(ISERROR(SEARCH("Bloqueado",F45)))</formula>
    </cfRule>
  </conditionalFormatting>
  <conditionalFormatting sqref="F52">
    <cfRule type="containsText" dxfId="67" priority="125" operator="containsText" text="Sin iniciar">
      <formula>NOT(ISERROR(SEARCH("Sin iniciar",F52)))</formula>
    </cfRule>
    <cfRule type="containsText" dxfId="66" priority="126" operator="containsText" text="Bloqueado">
      <formula>NOT(ISERROR(SEARCH("Bloqueado",F52)))</formula>
    </cfRule>
  </conditionalFormatting>
  <conditionalFormatting sqref="H29:H30">
    <cfRule type="containsText" dxfId="65" priority="123" operator="containsText" text="Sin iniciar">
      <formula>NOT(ISERROR(SEARCH("Sin iniciar",H29)))</formula>
    </cfRule>
    <cfRule type="containsText" dxfId="64" priority="124" operator="containsText" text="Bloqueado">
      <formula>NOT(ISERROR(SEARCH("Bloqueado",H29)))</formula>
    </cfRule>
  </conditionalFormatting>
  <conditionalFormatting sqref="H31">
    <cfRule type="containsText" dxfId="63" priority="121" operator="containsText" text="Sin iniciar">
      <formula>NOT(ISERROR(SEARCH("Sin iniciar",H31)))</formula>
    </cfRule>
    <cfRule type="containsText" dxfId="62" priority="122" operator="containsText" text="Bloqueado">
      <formula>NOT(ISERROR(SEARCH("Bloqueado",H31)))</formula>
    </cfRule>
  </conditionalFormatting>
  <conditionalFormatting sqref="H33:H35">
    <cfRule type="containsText" dxfId="61" priority="119" operator="containsText" text="Sin iniciar">
      <formula>NOT(ISERROR(SEARCH("Sin iniciar",H33)))</formula>
    </cfRule>
    <cfRule type="containsText" dxfId="60" priority="120" operator="containsText" text="Bloqueado">
      <formula>NOT(ISERROR(SEARCH("Bloqueado",H33)))</formula>
    </cfRule>
  </conditionalFormatting>
  <conditionalFormatting sqref="H36">
    <cfRule type="containsText" dxfId="59" priority="117" operator="containsText" text="Sin iniciar">
      <formula>NOT(ISERROR(SEARCH("Sin iniciar",H36)))</formula>
    </cfRule>
    <cfRule type="containsText" dxfId="58" priority="118" operator="containsText" text="Bloqueado">
      <formula>NOT(ISERROR(SEARCH("Bloqueado",H36)))</formula>
    </cfRule>
  </conditionalFormatting>
  <conditionalFormatting sqref="H38">
    <cfRule type="containsText" dxfId="57" priority="115" operator="containsText" text="Sin iniciar">
      <formula>NOT(ISERROR(SEARCH("Sin iniciar",H38)))</formula>
    </cfRule>
    <cfRule type="containsText" dxfId="56" priority="116" operator="containsText" text="Bloqueado">
      <formula>NOT(ISERROR(SEARCH("Bloqueado",H38)))</formula>
    </cfRule>
  </conditionalFormatting>
  <conditionalFormatting sqref="H40:H42">
    <cfRule type="containsText" dxfId="55" priority="113" operator="containsText" text="Sin iniciar">
      <formula>NOT(ISERROR(SEARCH("Sin iniciar",H40)))</formula>
    </cfRule>
    <cfRule type="containsText" dxfId="54" priority="114" operator="containsText" text="Bloqueado">
      <formula>NOT(ISERROR(SEARCH("Bloqueado",H40)))</formula>
    </cfRule>
  </conditionalFormatting>
  <conditionalFormatting sqref="H43">
    <cfRule type="containsText" dxfId="53" priority="111" operator="containsText" text="Sin iniciar">
      <formula>NOT(ISERROR(SEARCH("Sin iniciar",H43)))</formula>
    </cfRule>
    <cfRule type="containsText" dxfId="52" priority="112" operator="containsText" text="Bloqueado">
      <formula>NOT(ISERROR(SEARCH("Bloqueado",H43)))</formula>
    </cfRule>
  </conditionalFormatting>
  <conditionalFormatting sqref="H45:H49">
    <cfRule type="containsText" dxfId="51" priority="109" operator="containsText" text="Sin iniciar">
      <formula>NOT(ISERROR(SEARCH("Sin iniciar",H45)))</formula>
    </cfRule>
    <cfRule type="containsText" dxfId="50" priority="110" operator="containsText" text="Bloqueado">
      <formula>NOT(ISERROR(SEARCH("Bloqueado",H45)))</formula>
    </cfRule>
  </conditionalFormatting>
  <conditionalFormatting sqref="H50">
    <cfRule type="containsText" dxfId="49" priority="107" operator="containsText" text="Sin iniciar">
      <formula>NOT(ISERROR(SEARCH("Sin iniciar",H50)))</formula>
    </cfRule>
    <cfRule type="containsText" dxfId="48" priority="108" operator="containsText" text="Bloqueado">
      <formula>NOT(ISERROR(SEARCH("Bloqueado",H50)))</formula>
    </cfRule>
  </conditionalFormatting>
  <conditionalFormatting sqref="G29">
    <cfRule type="containsText" dxfId="47" priority="85" operator="containsText" text="Sin iniciar">
      <formula>NOT(ISERROR(SEARCH("Sin iniciar",G29)))</formula>
    </cfRule>
    <cfRule type="containsText" dxfId="46" priority="86" operator="containsText" text="Bloqueado">
      <formula>NOT(ISERROR(SEARCH("Bloqueado",G29)))</formula>
    </cfRule>
  </conditionalFormatting>
  <conditionalFormatting sqref="G30:G31">
    <cfRule type="containsText" dxfId="45" priority="83" operator="containsText" text="Sin iniciar">
      <formula>NOT(ISERROR(SEARCH("Sin iniciar",G30)))</formula>
    </cfRule>
    <cfRule type="containsText" dxfId="44" priority="84" operator="containsText" text="Bloqueado">
      <formula>NOT(ISERROR(SEARCH("Bloqueado",G30)))</formula>
    </cfRule>
  </conditionalFormatting>
  <conditionalFormatting sqref="G33">
    <cfRule type="containsText" dxfId="43" priority="81" operator="containsText" text="Sin iniciar">
      <formula>NOT(ISERROR(SEARCH("Sin iniciar",G33)))</formula>
    </cfRule>
    <cfRule type="containsText" dxfId="42" priority="82" operator="containsText" text="Bloqueado">
      <formula>NOT(ISERROR(SEARCH("Bloqueado",G33)))</formula>
    </cfRule>
  </conditionalFormatting>
  <conditionalFormatting sqref="G34:G36">
    <cfRule type="containsText" dxfId="41" priority="79" operator="containsText" text="Sin iniciar">
      <formula>NOT(ISERROR(SEARCH("Sin iniciar",G34)))</formula>
    </cfRule>
    <cfRule type="containsText" dxfId="40" priority="80" operator="containsText" text="Bloqueado">
      <formula>NOT(ISERROR(SEARCH("Bloqueado",G34)))</formula>
    </cfRule>
  </conditionalFormatting>
  <conditionalFormatting sqref="G38">
    <cfRule type="containsText" dxfId="39" priority="77" operator="containsText" text="Sin iniciar">
      <formula>NOT(ISERROR(SEARCH("Sin iniciar",G38)))</formula>
    </cfRule>
    <cfRule type="containsText" dxfId="38" priority="78" operator="containsText" text="Bloqueado">
      <formula>NOT(ISERROR(SEARCH("Bloqueado",G38)))</formula>
    </cfRule>
  </conditionalFormatting>
  <conditionalFormatting sqref="G41:G43">
    <cfRule type="containsText" dxfId="37" priority="73" operator="containsText" text="Sin iniciar">
      <formula>NOT(ISERROR(SEARCH("Sin iniciar",G41)))</formula>
    </cfRule>
    <cfRule type="containsText" dxfId="36" priority="74" operator="containsText" text="Bloqueado">
      <formula>NOT(ISERROR(SEARCH("Bloqueado",G41)))</formula>
    </cfRule>
  </conditionalFormatting>
  <conditionalFormatting sqref="G40">
    <cfRule type="containsText" dxfId="35" priority="71" operator="containsText" text="Sin iniciar">
      <formula>NOT(ISERROR(SEARCH("Sin iniciar",G40)))</formula>
    </cfRule>
    <cfRule type="containsText" dxfId="34" priority="72" operator="containsText" text="Bloqueado">
      <formula>NOT(ISERROR(SEARCH("Bloqueado",G40)))</formula>
    </cfRule>
  </conditionalFormatting>
  <conditionalFormatting sqref="G45">
    <cfRule type="containsText" dxfId="33" priority="69" operator="containsText" text="Sin iniciar">
      <formula>NOT(ISERROR(SEARCH("Sin iniciar",G45)))</formula>
    </cfRule>
    <cfRule type="containsText" dxfId="32" priority="70" operator="containsText" text="Bloqueado">
      <formula>NOT(ISERROR(SEARCH("Bloqueado",G45)))</formula>
    </cfRule>
  </conditionalFormatting>
  <conditionalFormatting sqref="G46:G50">
    <cfRule type="containsText" dxfId="31" priority="67" operator="containsText" text="Sin iniciar">
      <formula>NOT(ISERROR(SEARCH("Sin iniciar",G46)))</formula>
    </cfRule>
    <cfRule type="containsText" dxfId="30" priority="68" operator="containsText" text="Bloqueado">
      <formula>NOT(ISERROR(SEARCH("Bloqueado",G46)))</formula>
    </cfRule>
  </conditionalFormatting>
  <conditionalFormatting sqref="G52">
    <cfRule type="containsText" dxfId="29" priority="65" operator="containsText" text="Sin iniciar">
      <formula>NOT(ISERROR(SEARCH("Sin iniciar",G52)))</formula>
    </cfRule>
    <cfRule type="containsText" dxfId="28" priority="66" operator="containsText" text="Bloqueado">
      <formula>NOT(ISERROR(SEARCH("Bloqueado",G52)))</formula>
    </cfRule>
  </conditionalFormatting>
  <conditionalFormatting sqref="L29:L31">
    <cfRule type="containsText" dxfId="27" priority="62" operator="containsText" text="Sin iniciar">
      <formula>NOT(ISERROR(SEARCH("Sin iniciar",L29)))</formula>
    </cfRule>
    <cfRule type="containsText" dxfId="26" priority="63" operator="containsText" text="Bloqueado">
      <formula>NOT(ISERROR(SEARCH("Bloqueado",L29)))</formula>
    </cfRule>
  </conditionalFormatting>
  <conditionalFormatting sqref="L29:L31"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{F8FAC18E-6BFB-4B02-B4F1-DBEA3391A65E}</x14:id>
        </ext>
      </extLst>
    </cfRule>
  </conditionalFormatting>
  <conditionalFormatting sqref="L33:L36">
    <cfRule type="containsText" dxfId="25" priority="59" operator="containsText" text="Sin iniciar">
      <formula>NOT(ISERROR(SEARCH("Sin iniciar",L33)))</formula>
    </cfRule>
    <cfRule type="containsText" dxfId="24" priority="60" operator="containsText" text="Bloqueado">
      <formula>NOT(ISERROR(SEARCH("Bloqueado",L33)))</formula>
    </cfRule>
  </conditionalFormatting>
  <conditionalFormatting sqref="L33:L36"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{93B31FCA-CBE9-4047-8FCD-90822FEE00C2}</x14:id>
        </ext>
      </extLst>
    </cfRule>
  </conditionalFormatting>
  <conditionalFormatting sqref="L38">
    <cfRule type="containsText" dxfId="23" priority="56" operator="containsText" text="Sin iniciar">
      <formula>NOT(ISERROR(SEARCH("Sin iniciar",L38)))</formula>
    </cfRule>
    <cfRule type="containsText" dxfId="22" priority="57" operator="containsText" text="Bloqueado">
      <formula>NOT(ISERROR(SEARCH("Bloqueado",L38)))</formula>
    </cfRule>
  </conditionalFormatting>
  <conditionalFormatting sqref="L38">
    <cfRule type="dataBar" priority="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{1C54F158-4B5A-49E5-B33A-853EC9130671}</x14:id>
        </ext>
      </extLst>
    </cfRule>
  </conditionalFormatting>
  <conditionalFormatting sqref="L40:L43">
    <cfRule type="containsText" dxfId="21" priority="53" operator="containsText" text="Sin iniciar">
      <formula>NOT(ISERROR(SEARCH("Sin iniciar",L40)))</formula>
    </cfRule>
    <cfRule type="containsText" dxfId="20" priority="54" operator="containsText" text="Bloqueado">
      <formula>NOT(ISERROR(SEARCH("Bloqueado",L40)))</formula>
    </cfRule>
  </conditionalFormatting>
  <conditionalFormatting sqref="L40:L43"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{1A13DD0E-1F6C-44CE-89E1-073D284EFDF3}</x14:id>
        </ext>
      </extLst>
    </cfRule>
  </conditionalFormatting>
  <conditionalFormatting sqref="L45:L50">
    <cfRule type="containsText" dxfId="19" priority="50" operator="containsText" text="Sin iniciar">
      <formula>NOT(ISERROR(SEARCH("Sin iniciar",L45)))</formula>
    </cfRule>
    <cfRule type="containsText" dxfId="18" priority="51" operator="containsText" text="Bloqueado">
      <formula>NOT(ISERROR(SEARCH("Bloqueado",L45)))</formula>
    </cfRule>
  </conditionalFormatting>
  <conditionalFormatting sqref="L45:L50"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{263969A2-4B9A-4383-AB0C-B783316849F9}</x14:id>
        </ext>
      </extLst>
    </cfRule>
  </conditionalFormatting>
  <conditionalFormatting sqref="L54:L56">
    <cfRule type="containsText" dxfId="17" priority="20" operator="containsText" text="Sin iniciar">
      <formula>NOT(ISERROR(SEARCH("Sin iniciar",L54)))</formula>
    </cfRule>
    <cfRule type="containsText" dxfId="16" priority="21" operator="containsText" text="Bloqueado">
      <formula>NOT(ISERROR(SEARCH("Bloqueado",L54)))</formula>
    </cfRule>
  </conditionalFormatting>
  <conditionalFormatting sqref="L54:L56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{1C803572-0E27-4E42-97F5-2517BCBDD0B7}</x14:id>
        </ext>
      </extLst>
    </cfRule>
  </conditionalFormatting>
  <conditionalFormatting sqref="D54:D56">
    <cfRule type="containsText" dxfId="15" priority="18" operator="containsText" text="Sin iniciar">
      <formula>NOT(ISERROR(SEARCH("Sin iniciar",D54)))</formula>
    </cfRule>
    <cfRule type="containsText" dxfId="14" priority="19" operator="containsText" text="Bloqueado">
      <formula>NOT(ISERROR(SEARCH("Bloqueado",D54)))</formula>
    </cfRule>
  </conditionalFormatting>
  <conditionalFormatting sqref="F54:F56">
    <cfRule type="containsText" dxfId="13" priority="16" operator="containsText" text="Sin iniciar">
      <formula>NOT(ISERROR(SEARCH("Sin iniciar",F54)))</formula>
    </cfRule>
    <cfRule type="containsText" dxfId="12" priority="17" operator="containsText" text="Bloqueado">
      <formula>NOT(ISERROR(SEARCH("Bloqueado",F54)))</formula>
    </cfRule>
  </conditionalFormatting>
  <conditionalFormatting sqref="G54:G56">
    <cfRule type="containsText" dxfId="11" priority="14" operator="containsText" text="Sin iniciar">
      <formula>NOT(ISERROR(SEARCH("Sin iniciar",G54)))</formula>
    </cfRule>
    <cfRule type="containsText" dxfId="10" priority="15" operator="containsText" text="Bloqueado">
      <formula>NOT(ISERROR(SEARCH("Bloqueado",G54)))</formula>
    </cfRule>
  </conditionalFormatting>
  <conditionalFormatting sqref="I29:I31">
    <cfRule type="containsText" dxfId="9" priority="9" operator="containsText" text="Sin iniciar">
      <formula>NOT(ISERROR(SEARCH("Sin iniciar",I29)))</formula>
    </cfRule>
    <cfRule type="containsText" dxfId="8" priority="10" operator="containsText" text="Bloqueado">
      <formula>NOT(ISERROR(SEARCH("Bloqueado",I29)))</formula>
    </cfRule>
  </conditionalFormatting>
  <conditionalFormatting sqref="I33:I36">
    <cfRule type="containsText" dxfId="7" priority="7" operator="containsText" text="Sin iniciar">
      <formula>NOT(ISERROR(SEARCH("Sin iniciar",I33)))</formula>
    </cfRule>
    <cfRule type="containsText" dxfId="6" priority="8" operator="containsText" text="Bloqueado">
      <formula>NOT(ISERROR(SEARCH("Bloqueado",I33)))</formula>
    </cfRule>
  </conditionalFormatting>
  <conditionalFormatting sqref="I38">
    <cfRule type="containsText" dxfId="5" priority="5" operator="containsText" text="Sin iniciar">
      <formula>NOT(ISERROR(SEARCH("Sin iniciar",I38)))</formula>
    </cfRule>
    <cfRule type="containsText" dxfId="4" priority="6" operator="containsText" text="Bloqueado">
      <formula>NOT(ISERROR(SEARCH("Bloqueado",I38)))</formula>
    </cfRule>
  </conditionalFormatting>
  <conditionalFormatting sqref="I40:I43">
    <cfRule type="containsText" dxfId="3" priority="3" operator="containsText" text="Sin iniciar">
      <formula>NOT(ISERROR(SEARCH("Sin iniciar",I40)))</formula>
    </cfRule>
    <cfRule type="containsText" dxfId="2" priority="4" operator="containsText" text="Bloqueado">
      <formula>NOT(ISERROR(SEARCH("Bloqueado",I40)))</formula>
    </cfRule>
  </conditionalFormatting>
  <conditionalFormatting sqref="I45:I50">
    <cfRule type="containsText" dxfId="1" priority="1" operator="containsText" text="Sin iniciar">
      <formula>NOT(ISERROR(SEARCH("Sin iniciar",I45)))</formula>
    </cfRule>
    <cfRule type="containsText" dxfId="0" priority="2" operator="containsText" text="Bloqueado">
      <formula>NOT(ISERROR(SEARCH("Bloqueado",I45)))</formula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C75C49-0AAE-4C2F-ADFE-AC535F5ED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L18:L23 L52 L25:L27 L6:L16</xm:sqref>
        </x14:conditionalFormatting>
        <x14:conditionalFormatting xmlns:xm="http://schemas.microsoft.com/office/excel/2006/main">
          <x14:cfRule type="dataBar" id="{F8FAC18E-6BFB-4B02-B4F1-DBEA3391A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L29:L31</xm:sqref>
        </x14:conditionalFormatting>
        <x14:conditionalFormatting xmlns:xm="http://schemas.microsoft.com/office/excel/2006/main">
          <x14:cfRule type="dataBar" id="{93B31FCA-CBE9-4047-8FCD-90822FEE0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L33:L36</xm:sqref>
        </x14:conditionalFormatting>
        <x14:conditionalFormatting xmlns:xm="http://schemas.microsoft.com/office/excel/2006/main">
          <x14:cfRule type="dataBar" id="{1C54F158-4B5A-49E5-B33A-853EC9130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1A13DD0E-1F6C-44CE-89E1-073D284EFD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L40:L43</xm:sqref>
        </x14:conditionalFormatting>
        <x14:conditionalFormatting xmlns:xm="http://schemas.microsoft.com/office/excel/2006/main">
          <x14:cfRule type="dataBar" id="{263969A2-4B9A-4383-AB0C-B78331684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L45:L50</xm:sqref>
        </x14:conditionalFormatting>
        <x14:conditionalFormatting xmlns:xm="http://schemas.microsoft.com/office/excel/2006/main">
          <x14:cfRule type="dataBar" id="{1C803572-0E27-4E42-97F5-2517BCBDD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L54:L56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REBECA  PEDROZO CUETO</cp:lastModifiedBy>
  <cp:revision/>
  <dcterms:created xsi:type="dcterms:W3CDTF">2015-02-24T20:54:23Z</dcterms:created>
  <dcterms:modified xsi:type="dcterms:W3CDTF">2026-05-07T21:56:11Z</dcterms:modified>
  <cp:category/>
  <cp:contentStatus/>
</cp:coreProperties>
</file>