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ORNS (Gestión de Proyectos)/Formatos/"/>
    </mc:Choice>
  </mc:AlternateContent>
  <xr:revisionPtr revIDLastSave="588" documentId="13_ncr:1_{BE8A3E8B-BA4C-4971-8108-31D0EE9F0E76}" xr6:coauthVersionLast="47" xr6:coauthVersionMax="47" xr10:uidLastSave="{597099DF-DB85-41DF-A8C4-54CD9EF6208B}"/>
  <bookViews>
    <workbookView xWindow="-120" yWindow="-120" windowWidth="20640" windowHeight="11760" tabRatio="500" xr2:uid="{00000000-000D-0000-FFFF-FFFF00000000}"/>
  </bookViews>
  <sheets>
    <sheet name="Cronograma" sheetId="1" r:id="rId1"/>
  </sheets>
  <definedNames>
    <definedName name="_xlnm.Print_Area" localSheetId="0">Cronograma!$B$1:$I$61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" i="1" l="1"/>
  <c r="H20" i="1"/>
  <c r="H27" i="1"/>
  <c r="H31" i="1"/>
  <c r="H35" i="1"/>
  <c r="H40" i="1"/>
  <c r="H42" i="1"/>
  <c r="H47" i="1"/>
  <c r="H54" i="1"/>
  <c r="H56" i="1"/>
  <c r="F20" i="1"/>
  <c r="F21" i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F28" i="1" s="1"/>
  <c r="G28" i="1" s="1"/>
  <c r="F29" i="1" s="1"/>
  <c r="G29" i="1" s="1"/>
  <c r="F30" i="1" s="1"/>
  <c r="G30" i="1" s="1"/>
  <c r="F31" i="1" s="1"/>
  <c r="G20" i="1"/>
  <c r="G8" i="1"/>
  <c r="G9" i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9" i="1"/>
  <c r="H5" i="1"/>
  <c r="G31" i="1" l="1"/>
  <c r="F32" i="1"/>
  <c r="G32" i="1" s="1"/>
  <c r="F33" i="1" s="1"/>
  <c r="G33" i="1" s="1"/>
  <c r="F34" i="1" s="1"/>
  <c r="G34" i="1" s="1"/>
  <c r="F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G27" i="1"/>
  <c r="G35" i="1" l="1"/>
  <c r="F41" i="1"/>
  <c r="G41" i="1" s="1"/>
  <c r="F42" i="1" s="1"/>
  <c r="F43" i="1" l="1"/>
  <c r="G43" i="1" s="1"/>
  <c r="F44" i="1" s="1"/>
  <c r="G44" i="1" s="1"/>
  <c r="F45" i="1" s="1"/>
  <c r="G45" i="1" s="1"/>
  <c r="F46" i="1" s="1"/>
  <c r="G46" i="1" s="1"/>
  <c r="F47" i="1" s="1"/>
  <c r="G42" i="1"/>
  <c r="F48" i="1" l="1"/>
  <c r="G48" i="1" s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47" i="1"/>
  <c r="F55" i="1" l="1"/>
  <c r="G55" i="1" s="1"/>
  <c r="F56" i="1" s="1"/>
  <c r="G54" i="1"/>
  <c r="F57" i="1" l="1"/>
  <c r="G57" i="1" s="1"/>
  <c r="F58" i="1" s="1"/>
  <c r="G58" i="1" s="1"/>
  <c r="F59" i="1" s="1"/>
  <c r="G59" i="1" s="1"/>
  <c r="G56" i="1"/>
</calcChain>
</file>

<file path=xl/sharedStrings.xml><?xml version="1.0" encoding="utf-8"?>
<sst xmlns="http://schemas.openxmlformats.org/spreadsheetml/2006/main" count="200" uniqueCount="132">
  <si>
    <t>Nombre del Proyecto</t>
  </si>
  <si>
    <t>Título del Proyecto</t>
  </si>
  <si>
    <t>Fecha inicio</t>
  </si>
  <si>
    <t>Train Optimization Routes and Navigation System</t>
  </si>
  <si>
    <t>Duracion del proyecto</t>
  </si>
  <si>
    <t>Gerente del Proyecto</t>
  </si>
  <si>
    <t>Fecha Fin</t>
  </si>
  <si>
    <t>en dias</t>
  </si>
  <si>
    <t>Johel Santiago Arias Becerra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</si>
  <si>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</si>
  <si>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</si>
  <si>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</si>
  <si>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</si>
  <si>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</si>
  <si>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</si>
  <si>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</si>
  <si>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</si>
  <si>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Fase 1. Documentación y gestión del proyecto</t>
  </si>
  <si>
    <t>No Iniciado</t>
  </si>
  <si>
    <t>1.1.1</t>
  </si>
  <si>
    <t xml:space="preserve">Planteamiento del problema </t>
  </si>
  <si>
    <t>Completo</t>
  </si>
  <si>
    <t>Analista de Negocio</t>
  </si>
  <si>
    <t>En progreso</t>
  </si>
  <si>
    <t>1.2.1</t>
  </si>
  <si>
    <t xml:space="preserve">Justificación del planteamiento del proyecto </t>
  </si>
  <si>
    <t>1.3.1</t>
  </si>
  <si>
    <t xml:space="preserve">Marco teoríco y conceptual del proyecto </t>
  </si>
  <si>
    <t>Investigador / Analista</t>
  </si>
  <si>
    <t>En Espera</t>
  </si>
  <si>
    <t>1.4.1</t>
  </si>
  <si>
    <t xml:space="preserve">Identificación de objetivos generales y específicos del proyecto </t>
  </si>
  <si>
    <t>Project Manager</t>
  </si>
  <si>
    <t>1.5.1</t>
  </si>
  <si>
    <t xml:space="preserve">Delimitación y alcance del proyecto </t>
  </si>
  <si>
    <t>1.5.2</t>
  </si>
  <si>
    <t xml:space="preserve">Problematica del proyecto </t>
  </si>
  <si>
    <t>1.5.3</t>
  </si>
  <si>
    <t xml:space="preserve">Factibilidad del proyecto </t>
  </si>
  <si>
    <t>1.6.1</t>
  </si>
  <si>
    <t xml:space="preserve">Indentificación de stakeholders e interesados </t>
  </si>
  <si>
    <t>1.7.1</t>
  </si>
  <si>
    <t>Elaboracion de EDT</t>
  </si>
  <si>
    <t>1.7.2</t>
  </si>
  <si>
    <t>Definir entregables principales</t>
  </si>
  <si>
    <t>1.7.3</t>
  </si>
  <si>
    <t xml:space="preserve">Estimar recursos, costos y presupuesto </t>
  </si>
  <si>
    <t xml:space="preserve">Fase 2. Requerimientos del proyecto </t>
  </si>
  <si>
    <t>2.1.1</t>
  </si>
  <si>
    <t xml:space="preserve">Definición de requerimientos funcionales </t>
  </si>
  <si>
    <t>Analista de Requerimientos</t>
  </si>
  <si>
    <t>2.1.2</t>
  </si>
  <si>
    <t xml:space="preserve">Creación de tablas de requerimientos funcionales </t>
  </si>
  <si>
    <t>2.1.3</t>
  </si>
  <si>
    <t xml:space="preserve">Definición de requerimientos no funcionales </t>
  </si>
  <si>
    <t>2.1.4</t>
  </si>
  <si>
    <t xml:space="preserve">Creación de tablas de requerimientos no funcionales </t>
  </si>
  <si>
    <t>2.2.1</t>
  </si>
  <si>
    <t xml:space="preserve">Planteamiento de casos de uso de requerimientos funcionales </t>
  </si>
  <si>
    <t>Analista de Sistemas</t>
  </si>
  <si>
    <t>2.2.4</t>
  </si>
  <si>
    <t xml:space="preserve">Planteamiento de casos de uso de requerimientos no funcionales </t>
  </si>
  <si>
    <t xml:space="preserve">Fase 3. Diagramación de software </t>
  </si>
  <si>
    <t>3.1.1</t>
  </si>
  <si>
    <t xml:space="preserve">Diagrama de flujo de datos </t>
  </si>
  <si>
    <t>Arquitecto de Software</t>
  </si>
  <si>
    <t>3.1.4</t>
  </si>
  <si>
    <t xml:space="preserve">Diagrama de arquitectura </t>
  </si>
  <si>
    <t>3.1.6</t>
  </si>
  <si>
    <t>Diagrama entidad-relación</t>
  </si>
  <si>
    <t>Arquitecto de Software / Ingeniero de Datos</t>
  </si>
  <si>
    <t>Fase 4. Diseño de Interfaz de Usuario</t>
  </si>
  <si>
    <t>4.1.1</t>
  </si>
  <si>
    <t xml:space="preserve">Mapa de navegación </t>
  </si>
  <si>
    <t>Diseñador UX</t>
  </si>
  <si>
    <t>4.2.1</t>
  </si>
  <si>
    <t xml:space="preserve">Mockups </t>
  </si>
  <si>
    <t>4.3.1</t>
  </si>
  <si>
    <t xml:space="preserve">Prototipo funcional </t>
  </si>
  <si>
    <t>Diseñador UX/UI</t>
  </si>
  <si>
    <t xml:space="preserve">Fase 5. Desarrollo - Entrenamiento del modelo  </t>
  </si>
  <si>
    <t>5.1.1</t>
  </si>
  <si>
    <t>Identificación y búsqueda de datasets</t>
  </si>
  <si>
    <t>Ingeniero de Datos</t>
  </si>
  <si>
    <t>5.2.1</t>
  </si>
  <si>
    <t xml:space="preserve">Definición de hiperparámetros </t>
  </si>
  <si>
    <t>Ingeniero de Machine Learning</t>
  </si>
  <si>
    <t>5.3.1</t>
  </si>
  <si>
    <t xml:space="preserve">Limpieza y procesamiento de imágenes </t>
  </si>
  <si>
    <t>5.4.1</t>
  </si>
  <si>
    <t xml:space="preserve">Entrenamiento del modelo </t>
  </si>
  <si>
    <t xml:space="preserve">Fase 6. Base de datos   </t>
  </si>
  <si>
    <t>6.1.1</t>
  </si>
  <si>
    <t xml:space="preserve">Creación del modelo </t>
  </si>
  <si>
    <t xml:space="preserve">Fase 7. Desarrollo - Backend/API   </t>
  </si>
  <si>
    <t>7.1.1</t>
  </si>
  <si>
    <t xml:space="preserve">Montaje de infraestructura </t>
  </si>
  <si>
    <t>Ingeniero DevOps</t>
  </si>
  <si>
    <t>7.2.1</t>
  </si>
  <si>
    <t xml:space="preserve">Implementación de patrones de diseño </t>
  </si>
  <si>
    <t>Desarrollador Backend</t>
  </si>
  <si>
    <t>7.3.1</t>
  </si>
  <si>
    <t xml:space="preserve">Creación de endpoints </t>
  </si>
  <si>
    <t>7.4.1</t>
  </si>
  <si>
    <t xml:space="preserve">Integración con el modelo </t>
  </si>
  <si>
    <t>Desarrollador Backend / Ingeniero ML</t>
  </si>
  <si>
    <t xml:space="preserve">Fase 8. Desarrollo - Frontend / Interfaz visual    </t>
  </si>
  <si>
    <t>8.1.1</t>
  </si>
  <si>
    <t xml:space="preserve">Integración con dependencias </t>
  </si>
  <si>
    <t>Desarrollador Frontend</t>
  </si>
  <si>
    <t>8.2.1</t>
  </si>
  <si>
    <t xml:space="preserve">Configuración del framework </t>
  </si>
  <si>
    <t>8.3.1</t>
  </si>
  <si>
    <t xml:space="preserve">Creación de componentes </t>
  </si>
  <si>
    <t>8.4.1</t>
  </si>
  <si>
    <t xml:space="preserve">Configuración de manual de marca según diseño </t>
  </si>
  <si>
    <t>Diseñador UI</t>
  </si>
  <si>
    <t>8.5.1</t>
  </si>
  <si>
    <t xml:space="preserve">Creación de interfaces principales </t>
  </si>
  <si>
    <t>8.6.1</t>
  </si>
  <si>
    <t>Integración con backend</t>
  </si>
  <si>
    <t xml:space="preserve">Fase 9. Fase de pruebas </t>
  </si>
  <si>
    <t>9.1.1</t>
  </si>
  <si>
    <t xml:space="preserve">Pruebas funcionales </t>
  </si>
  <si>
    <t>QA Tester</t>
  </si>
  <si>
    <t>Fase 10. Cierre</t>
  </si>
  <si>
    <t>10.1.1</t>
  </si>
  <si>
    <t>Validar resultados con interesados</t>
  </si>
  <si>
    <t>10.2.1</t>
  </si>
  <si>
    <t>Finalizacion del Informe Final</t>
  </si>
  <si>
    <t>10.3.1</t>
  </si>
  <si>
    <t>Realizar 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</si>
</sst>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71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9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 readingOrder="1"/>
    </xf>
    <xf numFmtId="164" fontId="10" fillId="7" borderId="3" xfId="0" applyNumberFormat="1" applyFont="1" applyFill="1" applyBorder="1" applyAlignment="1">
      <alignment horizontal="left" vertical="center" wrapText="1" indent="1"/>
    </xf>
    <xf numFmtId="165" fontId="10" fillId="7" borderId="3" xfId="0" applyNumberFormat="1" applyFont="1" applyFill="1" applyBorder="1" applyAlignment="1">
      <alignment horizontal="left" vertical="center" wrapText="1" indent="1" readingOrder="1"/>
    </xf>
    <xf numFmtId="165" fontId="10" fillId="7" borderId="3" xfId="0" applyNumberFormat="1" applyFont="1" applyFill="1" applyBorder="1" applyAlignment="1">
      <alignment horizontal="left" vertical="center" wrapText="1" indent="1"/>
    </xf>
    <xf numFmtId="1" fontId="10" fillId="7" borderId="3" xfId="0" applyNumberFormat="1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 readingOrder="1"/>
    </xf>
    <xf numFmtId="165" fontId="10" fillId="8" borderId="3" xfId="0" applyNumberFormat="1" applyFont="1" applyFill="1" applyBorder="1" applyAlignment="1">
      <alignment horizontal="left" vertical="center" wrapText="1" indent="1" readingOrder="1"/>
    </xf>
    <xf numFmtId="165" fontId="10" fillId="8" borderId="3" xfId="0" applyNumberFormat="1" applyFont="1" applyFill="1" applyBorder="1" applyAlignment="1">
      <alignment horizontal="left" vertical="center" wrapText="1" indent="1"/>
    </xf>
    <xf numFmtId="1" fontId="10" fillId="8" borderId="3" xfId="0" applyNumberFormat="1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 readingOrder="1"/>
    </xf>
    <xf numFmtId="164" fontId="10" fillId="9" borderId="3" xfId="0" applyNumberFormat="1" applyFont="1" applyFill="1" applyBorder="1" applyAlignment="1">
      <alignment horizontal="left" vertical="center" wrapText="1" indent="1"/>
    </xf>
    <xf numFmtId="165" fontId="10" fillId="9" borderId="3" xfId="0" applyNumberFormat="1" applyFont="1" applyFill="1" applyBorder="1" applyAlignment="1">
      <alignment horizontal="left" vertical="center" wrapText="1" indent="1" readingOrder="1"/>
    </xf>
    <xf numFmtId="165" fontId="10" fillId="9" borderId="3" xfId="0" applyNumberFormat="1" applyFont="1" applyFill="1" applyBorder="1" applyAlignment="1">
      <alignment horizontal="left" vertical="center" wrapText="1" indent="1"/>
    </xf>
    <xf numFmtId="1" fontId="10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0" fillId="6" borderId="3" xfId="0" applyFont="1" applyFill="1" applyBorder="1" applyAlignment="1">
      <alignment horizontal="left" vertical="center" wrapText="1" indent="1"/>
    </xf>
    <xf numFmtId="0" fontId="13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0" fillId="6" borderId="3" xfId="0" applyNumberFormat="1" applyFont="1" applyFill="1" applyBorder="1" applyAlignment="1">
      <alignment horizontal="left" vertical="center" wrapText="1" indent="1"/>
    </xf>
    <xf numFmtId="0" fontId="13" fillId="10" borderId="6" xfId="0" applyFont="1" applyFill="1" applyBorder="1" applyAlignment="1">
      <alignment horizontal="left" vertical="center" wrapText="1" indent="1"/>
    </xf>
    <xf numFmtId="0" fontId="13" fillId="10" borderId="4" xfId="0" applyFont="1" applyFill="1" applyBorder="1" applyAlignment="1">
      <alignment horizontal="left" vertical="center" wrapText="1" indent="1"/>
    </xf>
    <xf numFmtId="165" fontId="10" fillId="6" borderId="7" xfId="0" applyNumberFormat="1" applyFont="1" applyFill="1" applyBorder="1" applyAlignment="1">
      <alignment horizontal="left" vertical="center" wrapText="1" indent="1"/>
    </xf>
    <xf numFmtId="1" fontId="10" fillId="6" borderId="3" xfId="0" applyNumberFormat="1" applyFont="1" applyFill="1" applyBorder="1" applyAlignment="1">
      <alignment horizontal="left" vertical="center" wrapText="1" indent="1"/>
    </xf>
    <xf numFmtId="0" fontId="9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1" borderId="2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5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10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 readingOrder="1"/>
    </xf>
    <xf numFmtId="165" fontId="5" fillId="0" borderId="11" xfId="0" applyNumberFormat="1" applyFont="1" applyBorder="1" applyAlignment="1">
      <alignment horizontal="left" vertical="center" wrapText="1" indent="1" readingOrder="1"/>
    </xf>
    <xf numFmtId="0" fontId="6" fillId="6" borderId="9" xfId="0" applyFont="1" applyFill="1" applyBorder="1" applyAlignment="1">
      <alignment horizontal="left" vertical="center" wrapText="1" indent="1"/>
    </xf>
    <xf numFmtId="164" fontId="10" fillId="7" borderId="9" xfId="0" applyNumberFormat="1" applyFont="1" applyFill="1" applyBorder="1" applyAlignment="1">
      <alignment horizontal="left" vertical="center" wrapText="1" indent="1"/>
    </xf>
    <xf numFmtId="0" fontId="0" fillId="0" borderId="12" xfId="0" applyBorder="1"/>
    <xf numFmtId="164" fontId="12" fillId="8" borderId="9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vertical="center" wrapText="1" indent="3"/>
    </xf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</cellStyles>
  <dxfs count="69"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Cronograma!$C$8:$C$59</c:f>
              <c:strCache>
                <c:ptCount val="52"/>
                <c:pt idx="0">
                  <c:v>Fase 1. Documentación y gestión del proyecto</c:v>
                </c:pt>
                <c:pt idx="1">
                  <c:v>Planteamiento del problema </c:v>
                </c:pt>
                <c:pt idx="2">
                  <c:v>Justificación del planteamiento del proyecto </c:v>
                </c:pt>
                <c:pt idx="3">
                  <c:v>Marco teoríco y conceptual del proyecto </c:v>
                </c:pt>
                <c:pt idx="4">
                  <c:v>Identificación de objetivos generales y específicos del proyecto </c:v>
                </c:pt>
                <c:pt idx="5">
                  <c:v>Delimitación y alcance del proyecto </c:v>
                </c:pt>
                <c:pt idx="6">
                  <c:v>Problematica del proyecto </c:v>
                </c:pt>
                <c:pt idx="7">
                  <c:v>Factibilidad del proyecto </c:v>
                </c:pt>
                <c:pt idx="8">
                  <c:v>Indentificación de stakeholders e interesados </c:v>
                </c:pt>
                <c:pt idx="9">
                  <c:v>Elaboracion de EDT</c:v>
                </c:pt>
                <c:pt idx="10">
                  <c:v>Definir entregables principales</c:v>
                </c:pt>
                <c:pt idx="11">
                  <c:v>Estimar recursos, costos y presupuesto </c:v>
                </c:pt>
                <c:pt idx="12">
                  <c:v>Fase 2. Requerimientos del proyecto </c:v>
                </c:pt>
                <c:pt idx="13">
                  <c:v>Definición de requerimientos funcionales </c:v>
                </c:pt>
                <c:pt idx="14">
                  <c:v>Creación de tablas de requerimientos funcionales </c:v>
                </c:pt>
                <c:pt idx="15">
                  <c:v>Definición de requerimientos no funcionales </c:v>
                </c:pt>
                <c:pt idx="16">
                  <c:v>Creación de tablas de requerimientos no funcionales </c:v>
                </c:pt>
                <c:pt idx="17">
                  <c:v>Planteamiento de casos de uso de requerimientos funcionales </c:v>
                </c:pt>
                <c:pt idx="18">
                  <c:v>Planteamiento de casos de uso de requerimientos no funcionales </c:v>
                </c:pt>
                <c:pt idx="19">
                  <c:v>Fase 3. Diagramación de software </c:v>
                </c:pt>
                <c:pt idx="20">
                  <c:v>Diagrama de flujo de datos </c:v>
                </c:pt>
                <c:pt idx="21">
                  <c:v>Diagrama de arquitectura </c:v>
                </c:pt>
                <c:pt idx="22">
                  <c:v>Diagrama entidad-relación</c:v>
                </c:pt>
                <c:pt idx="23">
                  <c:v>Fase 4. Diseño de Interfaz de Usuario</c:v>
                </c:pt>
                <c:pt idx="24">
                  <c:v>Mapa de navegación </c:v>
                </c:pt>
                <c:pt idx="25">
                  <c:v>Mockups </c:v>
                </c:pt>
                <c:pt idx="26">
                  <c:v>Prototipo funcional </c:v>
                </c:pt>
                <c:pt idx="27">
                  <c:v>Fase 5. Desarrollo - Entrenamiento del modelo  </c:v>
                </c:pt>
                <c:pt idx="28">
                  <c:v>Identificación y búsqueda de datasets</c:v>
                </c:pt>
                <c:pt idx="29">
                  <c:v>Definición de hiperparámetros </c:v>
                </c:pt>
                <c:pt idx="30">
                  <c:v>Limpieza y procesamiento de imágenes </c:v>
                </c:pt>
                <c:pt idx="31">
                  <c:v>Entrenamiento del modelo </c:v>
                </c:pt>
                <c:pt idx="32">
                  <c:v>Fase 6. Base de datos   </c:v>
                </c:pt>
                <c:pt idx="33">
                  <c:v>Creación del modelo </c:v>
                </c:pt>
                <c:pt idx="34">
                  <c:v>Fase 7. Desarrollo - Backend/API   </c:v>
                </c:pt>
                <c:pt idx="35">
                  <c:v>Montaje de infraestructura </c:v>
                </c:pt>
                <c:pt idx="36">
                  <c:v>Implementación de patrones de diseño </c:v>
                </c:pt>
                <c:pt idx="37">
                  <c:v>Creación de endpoints </c:v>
                </c:pt>
                <c:pt idx="38">
                  <c:v>Integración con el modelo </c:v>
                </c:pt>
                <c:pt idx="39">
                  <c:v>Fase 8. Desarrollo - Frontend / Interfaz visual    </c:v>
                </c:pt>
                <c:pt idx="40">
                  <c:v>Integración con dependencias </c:v>
                </c:pt>
                <c:pt idx="41">
                  <c:v>Configuración del framework </c:v>
                </c:pt>
                <c:pt idx="42">
                  <c:v>Creación de componentes </c:v>
                </c:pt>
                <c:pt idx="43">
                  <c:v>Configuración de manual de marca según diseño </c:v>
                </c:pt>
                <c:pt idx="44">
                  <c:v>Creación de interfaces principales </c:v>
                </c:pt>
                <c:pt idx="45">
                  <c:v>Integración con backend</c:v>
                </c:pt>
                <c:pt idx="46">
                  <c:v>Fase 9. Fase de pruebas </c:v>
                </c:pt>
                <c:pt idx="47">
                  <c:v>Pruebas funcionales </c:v>
                </c:pt>
                <c:pt idx="48">
                  <c:v>Fase 10. Cierre</c:v>
                </c:pt>
                <c:pt idx="49">
                  <c:v>Validar resultados con interesados</c:v>
                </c:pt>
                <c:pt idx="50">
                  <c:v>Finalizacion del Informe Final</c:v>
                </c:pt>
                <c:pt idx="51">
                  <c:v>Realizar cierre del proyecto</c:v>
                </c:pt>
              </c:strCache>
            </c:strRef>
          </c:cat>
          <c:val>
            <c:numRef>
              <c:f>Cronograma!$F$8:$F$59</c:f>
              <c:numCache>
                <c:formatCode>mm/dd</c:formatCode>
                <c:ptCount val="52"/>
                <c:pt idx="0">
                  <c:v>46060</c:v>
                </c:pt>
                <c:pt idx="1">
                  <c:v>46060</c:v>
                </c:pt>
                <c:pt idx="2">
                  <c:v>46062</c:v>
                </c:pt>
                <c:pt idx="3">
                  <c:v>46064</c:v>
                </c:pt>
                <c:pt idx="4">
                  <c:v>46065</c:v>
                </c:pt>
                <c:pt idx="5">
                  <c:v>46066</c:v>
                </c:pt>
                <c:pt idx="6">
                  <c:v>46067</c:v>
                </c:pt>
                <c:pt idx="7">
                  <c:v>46071</c:v>
                </c:pt>
                <c:pt idx="8">
                  <c:v>46074</c:v>
                </c:pt>
                <c:pt idx="9">
                  <c:v>46076</c:v>
                </c:pt>
                <c:pt idx="10">
                  <c:v>46078</c:v>
                </c:pt>
                <c:pt idx="11">
                  <c:v>46079</c:v>
                </c:pt>
                <c:pt idx="12">
                  <c:v>46084</c:v>
                </c:pt>
                <c:pt idx="13">
                  <c:v>46084</c:v>
                </c:pt>
                <c:pt idx="14">
                  <c:v>46085</c:v>
                </c:pt>
                <c:pt idx="15">
                  <c:v>46087</c:v>
                </c:pt>
                <c:pt idx="16">
                  <c:v>46088</c:v>
                </c:pt>
                <c:pt idx="17">
                  <c:v>46090</c:v>
                </c:pt>
                <c:pt idx="18">
                  <c:v>46092</c:v>
                </c:pt>
                <c:pt idx="19">
                  <c:v>46097</c:v>
                </c:pt>
                <c:pt idx="20">
                  <c:v>46097</c:v>
                </c:pt>
                <c:pt idx="21">
                  <c:v>46099</c:v>
                </c:pt>
                <c:pt idx="22">
                  <c:v>46100</c:v>
                </c:pt>
                <c:pt idx="23">
                  <c:v>46106</c:v>
                </c:pt>
                <c:pt idx="24">
                  <c:v>46106</c:v>
                </c:pt>
                <c:pt idx="25">
                  <c:v>46107</c:v>
                </c:pt>
                <c:pt idx="26">
                  <c:v>46110</c:v>
                </c:pt>
                <c:pt idx="27">
                  <c:v>46118</c:v>
                </c:pt>
                <c:pt idx="28">
                  <c:v>46118</c:v>
                </c:pt>
                <c:pt idx="29">
                  <c:v>46119</c:v>
                </c:pt>
                <c:pt idx="30">
                  <c:v>46121</c:v>
                </c:pt>
                <c:pt idx="31">
                  <c:v>46124</c:v>
                </c:pt>
                <c:pt idx="32">
                  <c:v>46130</c:v>
                </c:pt>
                <c:pt idx="33">
                  <c:v>46130</c:v>
                </c:pt>
                <c:pt idx="34">
                  <c:v>46134</c:v>
                </c:pt>
                <c:pt idx="35">
                  <c:v>46134</c:v>
                </c:pt>
                <c:pt idx="36">
                  <c:v>46135</c:v>
                </c:pt>
                <c:pt idx="37">
                  <c:v>46137</c:v>
                </c:pt>
                <c:pt idx="38">
                  <c:v>46142</c:v>
                </c:pt>
                <c:pt idx="39">
                  <c:v>46146</c:v>
                </c:pt>
                <c:pt idx="40">
                  <c:v>46146</c:v>
                </c:pt>
                <c:pt idx="41">
                  <c:v>46147</c:v>
                </c:pt>
                <c:pt idx="42">
                  <c:v>46148</c:v>
                </c:pt>
                <c:pt idx="43">
                  <c:v>46151</c:v>
                </c:pt>
                <c:pt idx="44">
                  <c:v>46153</c:v>
                </c:pt>
                <c:pt idx="45">
                  <c:v>46157</c:v>
                </c:pt>
                <c:pt idx="46">
                  <c:v>46164</c:v>
                </c:pt>
                <c:pt idx="47">
                  <c:v>46164</c:v>
                </c:pt>
                <c:pt idx="48">
                  <c:v>46168</c:v>
                </c:pt>
                <c:pt idx="49">
                  <c:v>46168</c:v>
                </c:pt>
                <c:pt idx="50">
                  <c:v>46169</c:v>
                </c:pt>
                <c:pt idx="51">
                  <c:v>46170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{"Fecha inicio"}</c15:sqref>
                        </c15:formulaRef>
                      </c:ext>
                    </c:extLst>
                    <c:strCache>
                      <c:ptCount val="1"/>
                      <c:pt idx="0">
                        <c:v>Fecha inicio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40-C168-4BB9-B6C7-31BA900FD4F6}"/>
            </c:ext>
          </c:extLst>
        </c:ser>
        <c:ser>
          <c:idx val="1"/>
          <c:order val="1"/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Cronograma!$C$8:$C$59</c:f>
              <c:strCache>
                <c:ptCount val="52"/>
                <c:pt idx="0">
                  <c:v>Fase 1. Documentación y gestión del proyecto</c:v>
                </c:pt>
                <c:pt idx="1">
                  <c:v>Planteamiento del problema </c:v>
                </c:pt>
                <c:pt idx="2">
                  <c:v>Justificación del planteamiento del proyecto </c:v>
                </c:pt>
                <c:pt idx="3">
                  <c:v>Marco teoríco y conceptual del proyecto </c:v>
                </c:pt>
                <c:pt idx="4">
                  <c:v>Identificación de objetivos generales y específicos del proyecto </c:v>
                </c:pt>
                <c:pt idx="5">
                  <c:v>Delimitación y alcance del proyecto </c:v>
                </c:pt>
                <c:pt idx="6">
                  <c:v>Problematica del proyecto </c:v>
                </c:pt>
                <c:pt idx="7">
                  <c:v>Factibilidad del proyecto </c:v>
                </c:pt>
                <c:pt idx="8">
                  <c:v>Indentificación de stakeholders e interesados </c:v>
                </c:pt>
                <c:pt idx="9">
                  <c:v>Elaboracion de EDT</c:v>
                </c:pt>
                <c:pt idx="10">
                  <c:v>Definir entregables principales</c:v>
                </c:pt>
                <c:pt idx="11">
                  <c:v>Estimar recursos, costos y presupuesto </c:v>
                </c:pt>
                <c:pt idx="12">
                  <c:v>Fase 2. Requerimientos del proyecto </c:v>
                </c:pt>
                <c:pt idx="13">
                  <c:v>Definición de requerimientos funcionales </c:v>
                </c:pt>
                <c:pt idx="14">
                  <c:v>Creación de tablas de requerimientos funcionales </c:v>
                </c:pt>
                <c:pt idx="15">
                  <c:v>Definición de requerimientos no funcionales </c:v>
                </c:pt>
                <c:pt idx="16">
                  <c:v>Creación de tablas de requerimientos no funcionales </c:v>
                </c:pt>
                <c:pt idx="17">
                  <c:v>Planteamiento de casos de uso de requerimientos funcionales </c:v>
                </c:pt>
                <c:pt idx="18">
                  <c:v>Planteamiento de casos de uso de requerimientos no funcionales </c:v>
                </c:pt>
                <c:pt idx="19">
                  <c:v>Fase 3. Diagramación de software </c:v>
                </c:pt>
                <c:pt idx="20">
                  <c:v>Diagrama de flujo de datos </c:v>
                </c:pt>
                <c:pt idx="21">
                  <c:v>Diagrama de arquitectura </c:v>
                </c:pt>
                <c:pt idx="22">
                  <c:v>Diagrama entidad-relación</c:v>
                </c:pt>
                <c:pt idx="23">
                  <c:v>Fase 4. Diseño de Interfaz de Usuario</c:v>
                </c:pt>
                <c:pt idx="24">
                  <c:v>Mapa de navegación </c:v>
                </c:pt>
                <c:pt idx="25">
                  <c:v>Mockups </c:v>
                </c:pt>
                <c:pt idx="26">
                  <c:v>Prototipo funcional </c:v>
                </c:pt>
                <c:pt idx="27">
                  <c:v>Fase 5. Desarrollo - Entrenamiento del modelo  </c:v>
                </c:pt>
                <c:pt idx="28">
                  <c:v>Identificación y búsqueda de datasets</c:v>
                </c:pt>
                <c:pt idx="29">
                  <c:v>Definición de hiperparámetros </c:v>
                </c:pt>
                <c:pt idx="30">
                  <c:v>Limpieza y procesamiento de imágenes </c:v>
                </c:pt>
                <c:pt idx="31">
                  <c:v>Entrenamiento del modelo </c:v>
                </c:pt>
                <c:pt idx="32">
                  <c:v>Fase 6. Base de datos   </c:v>
                </c:pt>
                <c:pt idx="33">
                  <c:v>Creación del modelo </c:v>
                </c:pt>
                <c:pt idx="34">
                  <c:v>Fase 7. Desarrollo - Backend/API   </c:v>
                </c:pt>
                <c:pt idx="35">
                  <c:v>Montaje de infraestructura </c:v>
                </c:pt>
                <c:pt idx="36">
                  <c:v>Implementación de patrones de diseño </c:v>
                </c:pt>
                <c:pt idx="37">
                  <c:v>Creación de endpoints </c:v>
                </c:pt>
                <c:pt idx="38">
                  <c:v>Integración con el modelo </c:v>
                </c:pt>
                <c:pt idx="39">
                  <c:v>Fase 8. Desarrollo - Frontend / Interfaz visual    </c:v>
                </c:pt>
                <c:pt idx="40">
                  <c:v>Integración con dependencias </c:v>
                </c:pt>
                <c:pt idx="41">
                  <c:v>Configuración del framework </c:v>
                </c:pt>
                <c:pt idx="42">
                  <c:v>Creación de componentes </c:v>
                </c:pt>
                <c:pt idx="43">
                  <c:v>Configuración de manual de marca según diseño </c:v>
                </c:pt>
                <c:pt idx="44">
                  <c:v>Creación de interfaces principales </c:v>
                </c:pt>
                <c:pt idx="45">
                  <c:v>Integración con backend</c:v>
                </c:pt>
                <c:pt idx="46">
                  <c:v>Fase 9. Fase de pruebas </c:v>
                </c:pt>
                <c:pt idx="47">
                  <c:v>Pruebas funcionales </c:v>
                </c:pt>
                <c:pt idx="48">
                  <c:v>Fase 10. Cierre</c:v>
                </c:pt>
                <c:pt idx="49">
                  <c:v>Validar resultados con interesados</c:v>
                </c:pt>
                <c:pt idx="50">
                  <c:v>Finalizacion del Informe Final</c:v>
                </c:pt>
                <c:pt idx="51">
                  <c:v>Realizar cierre del proyecto</c:v>
                </c:pt>
              </c:strCache>
            </c:strRef>
          </c:cat>
          <c:val>
            <c:numRef>
              <c:f>Cronograma!$H$8:$H$59</c:f>
              <c:numCache>
                <c:formatCode>0</c:formatCode>
                <c:ptCount val="52"/>
                <c:pt idx="0">
                  <c:v>21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9</c:v>
                </c:pt>
                <c:pt idx="24">
                  <c:v>1</c:v>
                </c:pt>
                <c:pt idx="25">
                  <c:v>3</c:v>
                </c:pt>
                <c:pt idx="26">
                  <c:v>5</c:v>
                </c:pt>
                <c:pt idx="27">
                  <c:v>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9</c:v>
                </c:pt>
                <c:pt idx="35">
                  <c:v>1</c:v>
                </c:pt>
                <c:pt idx="36">
                  <c:v>2</c:v>
                </c:pt>
                <c:pt idx="37">
                  <c:v>5</c:v>
                </c:pt>
                <c:pt idx="38">
                  <c:v>1</c:v>
                </c:pt>
                <c:pt idx="39">
                  <c:v>15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4</c:v>
                </c:pt>
                <c:pt idx="45">
                  <c:v>4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{"Duracion"}</c15:sqref>
                        </c15:formulaRef>
                      </c:ext>
                    </c:extLst>
                    <c:strCache>
                      <c:ptCount val="1"/>
                      <c:pt idx="0">
                        <c:v>Duracion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41-C168-4BB9-B6C7-31BA900FD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6179"/>
          <c:min val="46055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59</xdr:row>
      <xdr:rowOff>504825</xdr:rowOff>
    </xdr:from>
    <xdr:to>
      <xdr:col>16</xdr:col>
      <xdr:colOff>581025</xdr:colOff>
      <xdr:row>86</xdr:row>
      <xdr:rowOff>123825</xdr:rowOff>
    </xdr:to>
    <xdr:graphicFrame macro="">
      <xdr:nvGraphicFramePr>
        <xdr:cNvPr id="78" name="Chart 2">
          <a:extLst>
            <a:ext uri="{FF2B5EF4-FFF2-40B4-BE49-F238E27FC236}">
              <a16:creationId xmlns:a16="http://schemas.microsoft.com/office/drawing/2014/main" id="{C1119A85-E554-41F4-A405-2F81F95D5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05"/>
  <sheetViews>
    <sheetView showGridLines="0" tabSelected="1" zoomScale="70" zoomScaleNormal="70" workbookViewId="0">
      <pane ySplit="1" topLeftCell="A42" activePane="bottomLeft" state="frozen"/>
      <selection pane="bottomLeft" activeCell="D41" sqref="D41"/>
    </sheetView>
  </sheetViews>
  <sheetFormatPr defaultColWidth="11" defaultRowHeight="13.5" outlineLevelRow="1"/>
  <cols>
    <col min="1" max="1" width="3.375" style="4" customWidth="1"/>
    <col min="2" max="2" width="7.875" style="4" customWidth="1"/>
    <col min="3" max="3" width="57" style="4" bestFit="1" customWidth="1"/>
    <col min="4" max="4" width="12.875" style="4" customWidth="1"/>
    <col min="5" max="5" width="37.875" style="4" bestFit="1" customWidth="1"/>
    <col min="6" max="6" width="10.875" style="4" customWidth="1"/>
    <col min="7" max="7" width="8.875" style="4" customWidth="1"/>
    <col min="8" max="8" width="11.875" style="4" customWidth="1"/>
    <col min="9" max="9" width="50.875" style="4" customWidth="1"/>
    <col min="10" max="10" width="3.375" style="4" customWidth="1"/>
    <col min="11" max="11" width="12.875" style="4" customWidth="1"/>
    <col min="12" max="17" width="11" style="4"/>
    <col min="18" max="18" width="9" style="4" customWidth="1"/>
    <col min="19" max="16384" width="11" style="4"/>
  </cols>
  <sheetData>
    <row r="1" spans="1:258" ht="57" customHeight="1">
      <c r="A1" s="1"/>
      <c r="B1" s="57" t="s">
        <v>0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4" customFormat="1" ht="18" customHeight="1">
      <c r="A2" s="13"/>
      <c r="B2" s="13"/>
      <c r="C2" s="13" t="s">
        <v>1</v>
      </c>
      <c r="D2" s="13"/>
      <c r="E2" s="13" t="s">
        <v>2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</row>
    <row r="3" spans="1:258" ht="30" customHeight="1" thickBot="1">
      <c r="A3" s="1"/>
      <c r="B3" s="1"/>
      <c r="C3" s="35" t="s">
        <v>3</v>
      </c>
      <c r="D3" s="1"/>
      <c r="E3" s="55">
        <v>46060</v>
      </c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4" customFormat="1" ht="18" customHeight="1" thickBot="1">
      <c r="A4" s="13"/>
      <c r="B4" s="13"/>
      <c r="C4" s="36" t="s">
        <v>5</v>
      </c>
      <c r="D4" s="13"/>
      <c r="E4" s="36" t="s">
        <v>6</v>
      </c>
      <c r="F4" s="13"/>
      <c r="G4" s="13"/>
      <c r="H4" s="13" t="s">
        <v>7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</row>
    <row r="5" spans="1:258" ht="30" customHeight="1" thickBot="1">
      <c r="A5" s="1"/>
      <c r="B5" s="1"/>
      <c r="C5" s="54" t="s">
        <v>8</v>
      </c>
      <c r="D5" s="1"/>
      <c r="E5" s="55">
        <v>46172</v>
      </c>
      <c r="F5" s="1"/>
      <c r="G5" s="1"/>
      <c r="H5" s="56">
        <f>IF(E3=0,0,E5-E3)+1</f>
        <v>113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>
      <c r="A6" s="1"/>
      <c r="B6" s="1"/>
      <c r="C6" s="1"/>
      <c r="D6" s="1"/>
      <c r="E6" s="37"/>
      <c r="F6" s="1"/>
      <c r="G6" s="1"/>
      <c r="H6" s="3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8" customFormat="1" ht="35.1" customHeight="1" thickBot="1">
      <c r="A7" s="7"/>
      <c r="B7" s="39" t="s">
        <v>9</v>
      </c>
      <c r="C7" s="39" t="s">
        <v>10</v>
      </c>
      <c r="D7" s="39" t="s">
        <v>11</v>
      </c>
      <c r="E7" s="39" t="s">
        <v>12</v>
      </c>
      <c r="F7" s="42" t="s">
        <v>13</v>
      </c>
      <c r="G7" s="43" t="s">
        <v>14</v>
      </c>
      <c r="H7" s="39" t="s">
        <v>15</v>
      </c>
      <c r="I7" s="39" t="s">
        <v>16</v>
      </c>
      <c r="J7" s="7"/>
      <c r="K7" s="60" t="s">
        <v>11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</row>
    <row r="8" spans="1:258" s="6" customFormat="1" ht="24.95" customHeight="1">
      <c r="A8" s="5"/>
      <c r="B8" s="38">
        <v>1</v>
      </c>
      <c r="C8" s="61" t="s">
        <v>17</v>
      </c>
      <c r="D8" s="40"/>
      <c r="E8" s="66"/>
      <c r="F8" s="41">
        <v>46060</v>
      </c>
      <c r="G8" s="44">
        <f>SUM(F8+H8)</f>
        <v>46081</v>
      </c>
      <c r="H8" s="45">
        <f>SUM(H9:H19)</f>
        <v>21</v>
      </c>
      <c r="I8" s="46"/>
      <c r="J8" s="5"/>
      <c r="K8" s="59" t="s">
        <v>18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</row>
    <row r="9" spans="1:258" s="6" customFormat="1" ht="24.95" customHeight="1" outlineLevel="1">
      <c r="A9" s="5"/>
      <c r="B9" s="2" t="s">
        <v>19</v>
      </c>
      <c r="C9" s="9" t="s">
        <v>20</v>
      </c>
      <c r="D9" s="64" t="s">
        <v>21</v>
      </c>
      <c r="E9" s="68" t="s">
        <v>22</v>
      </c>
      <c r="F9" s="65">
        <f>F8</f>
        <v>46060</v>
      </c>
      <c r="G9" s="47">
        <f>F9+H9</f>
        <v>46062</v>
      </c>
      <c r="H9" s="49">
        <v>2</v>
      </c>
      <c r="I9" s="2"/>
      <c r="J9" s="5"/>
      <c r="K9" s="58" t="s">
        <v>23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</row>
    <row r="10" spans="1:258" s="6" customFormat="1" ht="24.95" customHeight="1" outlineLevel="1">
      <c r="A10" s="5"/>
      <c r="B10" s="2" t="s">
        <v>24</v>
      </c>
      <c r="C10" s="70" t="s">
        <v>25</v>
      </c>
      <c r="D10" s="64" t="s">
        <v>21</v>
      </c>
      <c r="E10" s="68" t="s">
        <v>22</v>
      </c>
      <c r="F10" s="65">
        <f>G9</f>
        <v>46062</v>
      </c>
      <c r="G10" s="47">
        <f t="shared" ref="G10:G19" si="0">F10+H10</f>
        <v>46064</v>
      </c>
      <c r="H10" s="49">
        <v>2</v>
      </c>
      <c r="I10" s="2"/>
      <c r="J10" s="5"/>
      <c r="K10" s="62" t="s">
        <v>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</row>
    <row r="11" spans="1:258" s="6" customFormat="1" ht="24.95" customHeight="1" outlineLevel="1">
      <c r="A11" s="5"/>
      <c r="B11" s="2" t="s">
        <v>26</v>
      </c>
      <c r="C11" s="9" t="s">
        <v>27</v>
      </c>
      <c r="D11" s="64" t="s">
        <v>21</v>
      </c>
      <c r="E11" s="68" t="s">
        <v>28</v>
      </c>
      <c r="F11" s="65">
        <f t="shared" ref="F11:F19" si="1">G10</f>
        <v>46064</v>
      </c>
      <c r="G11" s="47">
        <f t="shared" si="0"/>
        <v>46065</v>
      </c>
      <c r="H11" s="49">
        <v>1</v>
      </c>
      <c r="I11" s="2"/>
      <c r="J11" s="5"/>
      <c r="K11" s="63" t="s">
        <v>29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</row>
    <row r="12" spans="1:258" s="6" customFormat="1" ht="24.95" customHeight="1" outlineLevel="1">
      <c r="A12" s="5"/>
      <c r="B12" s="2" t="s">
        <v>30</v>
      </c>
      <c r="C12" s="9" t="s">
        <v>31</v>
      </c>
      <c r="D12" s="64" t="s">
        <v>21</v>
      </c>
      <c r="E12" s="68" t="s">
        <v>32</v>
      </c>
      <c r="F12" s="65">
        <f t="shared" si="1"/>
        <v>46065</v>
      </c>
      <c r="G12" s="47">
        <f t="shared" si="0"/>
        <v>46066</v>
      </c>
      <c r="H12" s="49">
        <v>1</v>
      </c>
      <c r="I12" s="2"/>
      <c r="J12" s="5"/>
      <c r="K12" s="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</row>
    <row r="13" spans="1:258" s="6" customFormat="1" ht="24.95" customHeight="1" outlineLevel="1">
      <c r="A13" s="5"/>
      <c r="B13" s="2" t="s">
        <v>33</v>
      </c>
      <c r="C13" s="9" t="s">
        <v>34</v>
      </c>
      <c r="D13" s="64" t="s">
        <v>21</v>
      </c>
      <c r="E13" s="68" t="s">
        <v>32</v>
      </c>
      <c r="F13" s="65">
        <f t="shared" si="1"/>
        <v>46066</v>
      </c>
      <c r="G13" s="47">
        <f t="shared" si="0"/>
        <v>46067</v>
      </c>
      <c r="H13" s="49">
        <v>1</v>
      </c>
      <c r="I13" s="2"/>
      <c r="J13" s="5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</row>
    <row r="14" spans="1:258" s="6" customFormat="1" ht="24.95" customHeight="1" outlineLevel="1">
      <c r="A14" s="5"/>
      <c r="B14" s="2" t="s">
        <v>35</v>
      </c>
      <c r="C14" s="9" t="s">
        <v>36</v>
      </c>
      <c r="D14" s="64" t="s">
        <v>21</v>
      </c>
      <c r="E14" s="68" t="s">
        <v>22</v>
      </c>
      <c r="F14" s="65">
        <f t="shared" si="1"/>
        <v>46067</v>
      </c>
      <c r="G14" s="47">
        <f t="shared" si="0"/>
        <v>46071</v>
      </c>
      <c r="H14" s="49">
        <v>4</v>
      </c>
      <c r="I14" s="2"/>
      <c r="J14" s="5"/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</row>
    <row r="15" spans="1:258" s="6" customFormat="1" ht="24.95" customHeight="1" outlineLevel="1" thickBot="1">
      <c r="A15" s="5"/>
      <c r="B15" s="2" t="s">
        <v>37</v>
      </c>
      <c r="C15" s="11" t="s">
        <v>38</v>
      </c>
      <c r="D15" s="64" t="s">
        <v>21</v>
      </c>
      <c r="E15" s="68" t="s">
        <v>32</v>
      </c>
      <c r="F15" s="65">
        <f t="shared" si="1"/>
        <v>46071</v>
      </c>
      <c r="G15" s="47">
        <f t="shared" si="0"/>
        <v>46074</v>
      </c>
      <c r="H15" s="50">
        <v>3</v>
      </c>
      <c r="I15" s="12"/>
      <c r="J15" s="5"/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</row>
    <row r="16" spans="1:258" s="6" customFormat="1" ht="24.95" customHeight="1" outlineLevel="1">
      <c r="A16" s="5"/>
      <c r="B16" s="2" t="s">
        <v>39</v>
      </c>
      <c r="C16" s="9" t="s">
        <v>40</v>
      </c>
      <c r="D16" s="64" t="s">
        <v>21</v>
      </c>
      <c r="E16" s="68" t="s">
        <v>32</v>
      </c>
      <c r="F16" s="65">
        <f t="shared" si="1"/>
        <v>46074</v>
      </c>
      <c r="G16" s="47">
        <f t="shared" si="0"/>
        <v>46076</v>
      </c>
      <c r="H16" s="49">
        <v>2</v>
      </c>
      <c r="I16" s="2"/>
      <c r="J16" s="5"/>
      <c r="K16" s="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</row>
    <row r="17" spans="1:258" s="6" customFormat="1" ht="24.95" customHeight="1" outlineLevel="1">
      <c r="A17" s="5"/>
      <c r="B17" s="2" t="s">
        <v>41</v>
      </c>
      <c r="C17" s="9" t="s">
        <v>42</v>
      </c>
      <c r="D17" s="64" t="s">
        <v>21</v>
      </c>
      <c r="E17" s="68" t="s">
        <v>32</v>
      </c>
      <c r="F17" s="65">
        <f t="shared" si="1"/>
        <v>46076</v>
      </c>
      <c r="G17" s="47">
        <f t="shared" si="0"/>
        <v>46078</v>
      </c>
      <c r="H17" s="49">
        <v>2</v>
      </c>
      <c r="I17" s="2"/>
      <c r="J17" s="5"/>
      <c r="K17" s="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</row>
    <row r="18" spans="1:258" s="6" customFormat="1" ht="24.95" customHeight="1" outlineLevel="1">
      <c r="A18" s="5"/>
      <c r="B18" s="2" t="s">
        <v>43</v>
      </c>
      <c r="C18" s="9" t="s">
        <v>44</v>
      </c>
      <c r="D18" s="64" t="s">
        <v>21</v>
      </c>
      <c r="E18" s="68" t="s">
        <v>32</v>
      </c>
      <c r="F18" s="65">
        <f t="shared" si="1"/>
        <v>46078</v>
      </c>
      <c r="G18" s="47">
        <f t="shared" si="0"/>
        <v>46079</v>
      </c>
      <c r="H18" s="49">
        <v>1</v>
      </c>
      <c r="I18" s="2"/>
      <c r="J18" s="5"/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</row>
    <row r="19" spans="1:258" s="6" customFormat="1" ht="24.95" customHeight="1" outlineLevel="1">
      <c r="A19" s="5"/>
      <c r="B19" s="2" t="s">
        <v>45</v>
      </c>
      <c r="C19" s="9" t="s">
        <v>46</v>
      </c>
      <c r="D19" s="64" t="s">
        <v>21</v>
      </c>
      <c r="E19" s="68" t="s">
        <v>32</v>
      </c>
      <c r="F19" s="65">
        <f t="shared" si="1"/>
        <v>46079</v>
      </c>
      <c r="G19" s="47">
        <f t="shared" si="0"/>
        <v>46081</v>
      </c>
      <c r="H19" s="49">
        <v>2</v>
      </c>
      <c r="I19" s="2"/>
      <c r="J19" s="5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</row>
    <row r="20" spans="1:258" s="6" customFormat="1" ht="24.95" customHeight="1" outlineLevel="1">
      <c r="A20" s="5"/>
      <c r="B20" s="18">
        <v>2</v>
      </c>
      <c r="C20" s="18" t="s">
        <v>47</v>
      </c>
      <c r="D20" s="21"/>
      <c r="E20" s="67"/>
      <c r="F20" s="23">
        <f>SUM(G19,3)</f>
        <v>46084</v>
      </c>
      <c r="G20" s="24">
        <f>SUM(F20,H20)</f>
        <v>46094</v>
      </c>
      <c r="H20" s="25">
        <f>SUM(H21:H26)</f>
        <v>10</v>
      </c>
      <c r="I20" s="15"/>
      <c r="J20" s="5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</row>
    <row r="21" spans="1:258" s="6" customFormat="1" ht="24.95" customHeight="1" outlineLevel="1" thickBot="1">
      <c r="A21" s="5"/>
      <c r="B21" s="12" t="s">
        <v>48</v>
      </c>
      <c r="C21" s="11" t="s">
        <v>49</v>
      </c>
      <c r="D21" s="64" t="s">
        <v>21</v>
      </c>
      <c r="E21" s="68" t="s">
        <v>50</v>
      </c>
      <c r="F21" s="65">
        <f>F20</f>
        <v>46084</v>
      </c>
      <c r="G21" s="47">
        <f>F21+H21</f>
        <v>46085</v>
      </c>
      <c r="H21" s="51">
        <v>1</v>
      </c>
      <c r="I21" s="12"/>
      <c r="J21" s="5"/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</row>
    <row r="22" spans="1:258" s="6" customFormat="1" ht="24.95" customHeight="1" outlineLevel="1" thickBot="1">
      <c r="A22" s="5"/>
      <c r="B22" s="12" t="s">
        <v>51</v>
      </c>
      <c r="C22" s="11" t="s">
        <v>52</v>
      </c>
      <c r="D22" s="64" t="s">
        <v>21</v>
      </c>
      <c r="E22" s="68" t="s">
        <v>50</v>
      </c>
      <c r="F22" s="65">
        <f>G21</f>
        <v>46085</v>
      </c>
      <c r="G22" s="47">
        <f t="shared" ref="G22:G26" si="2">F22+H22</f>
        <v>46087</v>
      </c>
      <c r="H22" s="51">
        <v>2</v>
      </c>
      <c r="I22" s="12"/>
      <c r="J22" s="5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</row>
    <row r="23" spans="1:258" s="6" customFormat="1" ht="24.95" customHeight="1" outlineLevel="1" thickBot="1">
      <c r="A23" s="5"/>
      <c r="B23" s="12" t="s">
        <v>53</v>
      </c>
      <c r="C23" s="11" t="s">
        <v>54</v>
      </c>
      <c r="D23" s="64" t="s">
        <v>21</v>
      </c>
      <c r="E23" s="68" t="s">
        <v>50</v>
      </c>
      <c r="F23" s="65">
        <f t="shared" ref="F23:F26" si="3">G22</f>
        <v>46087</v>
      </c>
      <c r="G23" s="47">
        <f t="shared" si="2"/>
        <v>46088</v>
      </c>
      <c r="H23" s="51">
        <v>1</v>
      </c>
      <c r="I23" s="12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</row>
    <row r="24" spans="1:258" s="6" customFormat="1" ht="24.95" customHeight="1" outlineLevel="1" thickBot="1">
      <c r="A24" s="5"/>
      <c r="B24" s="12" t="s">
        <v>55</v>
      </c>
      <c r="C24" s="11" t="s">
        <v>56</v>
      </c>
      <c r="D24" s="64" t="s">
        <v>21</v>
      </c>
      <c r="E24" s="68" t="s">
        <v>50</v>
      </c>
      <c r="F24" s="65">
        <f t="shared" si="3"/>
        <v>46088</v>
      </c>
      <c r="G24" s="47">
        <f t="shared" si="2"/>
        <v>46090</v>
      </c>
      <c r="H24" s="51">
        <v>2</v>
      </c>
      <c r="I24" s="12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</row>
    <row r="25" spans="1:258" s="6" customFormat="1" ht="24.95" customHeight="1" outlineLevel="1" thickBot="1">
      <c r="A25" s="5"/>
      <c r="B25" s="12" t="s">
        <v>57</v>
      </c>
      <c r="C25" s="11" t="s">
        <v>58</v>
      </c>
      <c r="D25" s="64" t="s">
        <v>21</v>
      </c>
      <c r="E25" s="68" t="s">
        <v>59</v>
      </c>
      <c r="F25" s="65">
        <f t="shared" si="3"/>
        <v>46090</v>
      </c>
      <c r="G25" s="47">
        <f t="shared" si="2"/>
        <v>46092</v>
      </c>
      <c r="H25" s="51">
        <v>2</v>
      </c>
      <c r="I25" s="12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</row>
    <row r="26" spans="1:258" s="6" customFormat="1" ht="24.95" customHeight="1" outlineLevel="1" thickBot="1">
      <c r="A26" s="5"/>
      <c r="B26" s="12" t="s">
        <v>60</v>
      </c>
      <c r="C26" s="11" t="s">
        <v>61</v>
      </c>
      <c r="D26" s="64" t="s">
        <v>21</v>
      </c>
      <c r="E26" s="68" t="s">
        <v>59</v>
      </c>
      <c r="F26" s="65">
        <f t="shared" si="3"/>
        <v>46092</v>
      </c>
      <c r="G26" s="47">
        <f t="shared" si="2"/>
        <v>46094</v>
      </c>
      <c r="H26" s="51">
        <v>2</v>
      </c>
      <c r="I26" s="12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</row>
    <row r="27" spans="1:258" s="6" customFormat="1" ht="24.95" customHeight="1">
      <c r="A27" s="5"/>
      <c r="B27" s="19">
        <v>3</v>
      </c>
      <c r="C27" s="19" t="s">
        <v>62</v>
      </c>
      <c r="D27" s="26"/>
      <c r="E27" s="69"/>
      <c r="F27" s="27">
        <f>SUM(G26,3)</f>
        <v>46097</v>
      </c>
      <c r="G27" s="28">
        <f>SUM(F27,H27)</f>
        <v>46103</v>
      </c>
      <c r="H27" s="29">
        <f>SUM(H28:H30)</f>
        <v>6</v>
      </c>
      <c r="I27" s="16"/>
      <c r="J27" s="5"/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</row>
    <row r="28" spans="1:258" s="6" customFormat="1" ht="24.95" customHeight="1" outlineLevel="1">
      <c r="A28" s="5"/>
      <c r="B28" s="2" t="s">
        <v>63</v>
      </c>
      <c r="C28" s="9" t="s">
        <v>64</v>
      </c>
      <c r="D28" s="64" t="s">
        <v>21</v>
      </c>
      <c r="E28" s="68" t="s">
        <v>65</v>
      </c>
      <c r="F28" s="65">
        <f>F27</f>
        <v>46097</v>
      </c>
      <c r="G28" s="48">
        <f>F28+H28</f>
        <v>46099</v>
      </c>
      <c r="H28" s="52">
        <v>2</v>
      </c>
      <c r="I28" s="2"/>
      <c r="J28" s="5"/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</row>
    <row r="29" spans="1:258" s="6" customFormat="1" ht="24.95" customHeight="1" outlineLevel="1">
      <c r="A29" s="5"/>
      <c r="B29" s="2" t="s">
        <v>66</v>
      </c>
      <c r="C29" s="9" t="s">
        <v>67</v>
      </c>
      <c r="D29" s="64" t="s">
        <v>21</v>
      </c>
      <c r="E29" s="68" t="s">
        <v>65</v>
      </c>
      <c r="F29" s="65">
        <f>G28</f>
        <v>46099</v>
      </c>
      <c r="G29" s="48">
        <f t="shared" ref="G29:G30" si="4">F29+H29</f>
        <v>46100</v>
      </c>
      <c r="H29" s="52">
        <v>1</v>
      </c>
      <c r="I29" s="2"/>
      <c r="J29" s="5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</row>
    <row r="30" spans="1:258" s="6" customFormat="1" ht="24.95" customHeight="1" outlineLevel="1">
      <c r="A30" s="5"/>
      <c r="B30" s="2" t="s">
        <v>68</v>
      </c>
      <c r="C30" s="10" t="s">
        <v>69</v>
      </c>
      <c r="D30" s="64" t="s">
        <v>21</v>
      </c>
      <c r="E30" s="68" t="s">
        <v>70</v>
      </c>
      <c r="F30" s="65">
        <f>G29</f>
        <v>46100</v>
      </c>
      <c r="G30" s="48">
        <f t="shared" si="4"/>
        <v>46103</v>
      </c>
      <c r="H30" s="52">
        <v>3</v>
      </c>
      <c r="I30" s="2"/>
      <c r="J30" s="5"/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</row>
    <row r="31" spans="1:258" s="6" customFormat="1" ht="24.95" customHeight="1">
      <c r="A31" s="5"/>
      <c r="B31" s="20">
        <v>4</v>
      </c>
      <c r="C31" s="20" t="s">
        <v>71</v>
      </c>
      <c r="D31" s="30"/>
      <c r="E31" s="31"/>
      <c r="F31" s="32">
        <f>SUM(G30,3)</f>
        <v>46106</v>
      </c>
      <c r="G31" s="33">
        <f>SUM(F31,H31)</f>
        <v>46115</v>
      </c>
      <c r="H31" s="34">
        <f>SUM(H32:H34)</f>
        <v>9</v>
      </c>
      <c r="I31" s="17"/>
      <c r="J31" s="5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</row>
    <row r="32" spans="1:258" s="6" customFormat="1" ht="24.95" customHeight="1" outlineLevel="1">
      <c r="A32" s="5"/>
      <c r="B32" s="2" t="s">
        <v>72</v>
      </c>
      <c r="C32" s="9" t="s">
        <v>73</v>
      </c>
      <c r="D32" s="64" t="s">
        <v>21</v>
      </c>
      <c r="E32" t="s">
        <v>74</v>
      </c>
      <c r="F32" s="47">
        <f>F31</f>
        <v>46106</v>
      </c>
      <c r="G32" s="48">
        <f>F32+H32</f>
        <v>46107</v>
      </c>
      <c r="H32" s="53">
        <v>1</v>
      </c>
      <c r="I32" s="2"/>
      <c r="J32" s="5"/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</row>
    <row r="33" spans="1:258" s="6" customFormat="1" ht="24.95" customHeight="1" outlineLevel="1">
      <c r="A33" s="5"/>
      <c r="B33" s="2" t="s">
        <v>75</v>
      </c>
      <c r="C33" s="9" t="s">
        <v>76</v>
      </c>
      <c r="D33" s="64" t="s">
        <v>21</v>
      </c>
      <c r="E33" t="s">
        <v>74</v>
      </c>
      <c r="F33" s="47">
        <f>G32</f>
        <v>46107</v>
      </c>
      <c r="G33" s="48">
        <f t="shared" ref="G33:G34" si="5">F33+H33</f>
        <v>46110</v>
      </c>
      <c r="H33" s="53">
        <v>3</v>
      </c>
      <c r="I33" s="2"/>
      <c r="J33" s="5"/>
      <c r="K33" s="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</row>
    <row r="34" spans="1:258" s="6" customFormat="1" ht="24.95" customHeight="1" outlineLevel="1" thickBot="1">
      <c r="A34" s="5"/>
      <c r="B34" s="2" t="s">
        <v>77</v>
      </c>
      <c r="C34" s="9" t="s">
        <v>78</v>
      </c>
      <c r="D34" s="64" t="s">
        <v>21</v>
      </c>
      <c r="E34" t="s">
        <v>79</v>
      </c>
      <c r="F34" s="47">
        <f>G33</f>
        <v>46110</v>
      </c>
      <c r="G34" s="48">
        <f t="shared" si="5"/>
        <v>46115</v>
      </c>
      <c r="H34" s="53">
        <v>5</v>
      </c>
      <c r="I34" s="2"/>
      <c r="J34" s="5"/>
      <c r="K34" s="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</row>
    <row r="35" spans="1:258" s="6" customFormat="1" ht="24.95" customHeight="1" outlineLevel="1">
      <c r="A35" s="5"/>
      <c r="B35" s="38">
        <v>5</v>
      </c>
      <c r="C35" s="61" t="s">
        <v>80</v>
      </c>
      <c r="D35" s="40"/>
      <c r="E35" s="66"/>
      <c r="F35" s="41">
        <f>SUM(G34,3)</f>
        <v>46118</v>
      </c>
      <c r="G35" s="44">
        <f>SUM(F35,H35)</f>
        <v>46127</v>
      </c>
      <c r="H35" s="45">
        <f>SUM(H36:H39)</f>
        <v>9</v>
      </c>
      <c r="I35" s="46"/>
      <c r="J35" s="5"/>
      <c r="K35" s="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</row>
    <row r="36" spans="1:258" s="6" customFormat="1" ht="24.95" customHeight="1" outlineLevel="1">
      <c r="A36" s="5"/>
      <c r="B36" s="2" t="s">
        <v>81</v>
      </c>
      <c r="C36" s="9" t="s">
        <v>82</v>
      </c>
      <c r="D36" s="64" t="s">
        <v>21</v>
      </c>
      <c r="E36" s="68" t="s">
        <v>83</v>
      </c>
      <c r="F36" s="65">
        <f>F35</f>
        <v>46118</v>
      </c>
      <c r="G36" s="48">
        <f>F36+H36</f>
        <v>46119</v>
      </c>
      <c r="H36" s="49">
        <v>1</v>
      </c>
      <c r="I36" s="2"/>
      <c r="J36" s="5"/>
      <c r="K36" s="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</row>
    <row r="37" spans="1:258" s="6" customFormat="1" ht="24.95" customHeight="1" outlineLevel="1">
      <c r="A37" s="5"/>
      <c r="B37" s="2" t="s">
        <v>84</v>
      </c>
      <c r="C37" s="9" t="s">
        <v>85</v>
      </c>
      <c r="D37" s="64" t="s">
        <v>21</v>
      </c>
      <c r="E37" s="68" t="s">
        <v>86</v>
      </c>
      <c r="F37" s="65">
        <f>G36</f>
        <v>46119</v>
      </c>
      <c r="G37" s="48">
        <f t="shared" ref="G37:G39" si="6">F37+H37</f>
        <v>46121</v>
      </c>
      <c r="H37" s="49">
        <v>2</v>
      </c>
      <c r="I37" s="2"/>
      <c r="J37" s="5"/>
      <c r="K37" s="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</row>
    <row r="38" spans="1:258" s="6" customFormat="1" ht="24.95" customHeight="1" outlineLevel="1">
      <c r="A38" s="5"/>
      <c r="B38" s="2" t="s">
        <v>87</v>
      </c>
      <c r="C38" s="9" t="s">
        <v>88</v>
      </c>
      <c r="D38" s="64" t="s">
        <v>21</v>
      </c>
      <c r="E38" s="68" t="s">
        <v>83</v>
      </c>
      <c r="F38" s="65">
        <f t="shared" ref="F38:F39" si="7">G37</f>
        <v>46121</v>
      </c>
      <c r="G38" s="48">
        <f t="shared" si="6"/>
        <v>46124</v>
      </c>
      <c r="H38" s="49">
        <v>3</v>
      </c>
      <c r="I38" s="2"/>
      <c r="J38" s="5"/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</row>
    <row r="39" spans="1:258" s="6" customFormat="1" ht="24.95" customHeight="1" outlineLevel="1">
      <c r="A39" s="5"/>
      <c r="B39" s="2" t="s">
        <v>89</v>
      </c>
      <c r="C39" s="9" t="s">
        <v>90</v>
      </c>
      <c r="D39" s="64" t="s">
        <v>21</v>
      </c>
      <c r="E39" s="68" t="s">
        <v>86</v>
      </c>
      <c r="F39" s="65">
        <f t="shared" si="7"/>
        <v>46124</v>
      </c>
      <c r="G39" s="48">
        <f t="shared" si="6"/>
        <v>46127</v>
      </c>
      <c r="H39" s="49">
        <v>3</v>
      </c>
      <c r="I39" s="2"/>
      <c r="J39" s="5"/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</row>
    <row r="40" spans="1:258" s="6" customFormat="1" ht="24.95" customHeight="1" outlineLevel="1">
      <c r="A40" s="5"/>
      <c r="B40" s="18">
        <v>6</v>
      </c>
      <c r="C40" s="18" t="s">
        <v>91</v>
      </c>
      <c r="D40" s="21"/>
      <c r="E40" s="22"/>
      <c r="F40" s="23">
        <f>SUM(G39,3)</f>
        <v>46130</v>
      </c>
      <c r="G40" s="24">
        <f>SUM(F40,H40)</f>
        <v>46131</v>
      </c>
      <c r="H40" s="25">
        <f>SUM(H41)</f>
        <v>1</v>
      </c>
      <c r="I40" s="15"/>
      <c r="J40" s="5"/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</row>
    <row r="41" spans="1:258" s="6" customFormat="1" ht="24.95" customHeight="1" outlineLevel="1">
      <c r="A41" s="5"/>
      <c r="B41" s="2" t="s">
        <v>92</v>
      </c>
      <c r="C41" s="9" t="s">
        <v>93</v>
      </c>
      <c r="D41" s="64" t="s">
        <v>21</v>
      </c>
      <c r="E41" t="s">
        <v>86</v>
      </c>
      <c r="F41" s="47">
        <f>F40</f>
        <v>46130</v>
      </c>
      <c r="G41" s="48">
        <f>F41+H41</f>
        <v>46131</v>
      </c>
      <c r="H41" s="51">
        <v>1</v>
      </c>
      <c r="I41" s="2"/>
      <c r="J41" s="5"/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</row>
    <row r="42" spans="1:258" s="6" customFormat="1" ht="24.95" customHeight="1" outlineLevel="1">
      <c r="A42" s="5"/>
      <c r="B42" s="19">
        <v>7</v>
      </c>
      <c r="C42" s="19" t="s">
        <v>94</v>
      </c>
      <c r="D42" s="26"/>
      <c r="E42" s="69"/>
      <c r="F42" s="27">
        <f>SUM(G41,3)</f>
        <v>46134</v>
      </c>
      <c r="G42" s="28">
        <f>SUM(F42,H42)</f>
        <v>46143</v>
      </c>
      <c r="H42" s="29">
        <f>SUM(H43:H46)</f>
        <v>9</v>
      </c>
      <c r="I42" s="16"/>
      <c r="J42" s="5"/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</row>
    <row r="43" spans="1:258" s="6" customFormat="1" ht="24.95" customHeight="1" outlineLevel="1">
      <c r="A43" s="5"/>
      <c r="B43" s="2" t="s">
        <v>95</v>
      </c>
      <c r="C43" s="9" t="s">
        <v>96</v>
      </c>
      <c r="D43" s="64" t="s">
        <v>21</v>
      </c>
      <c r="E43" s="68" t="s">
        <v>97</v>
      </c>
      <c r="F43" s="65">
        <f>F42</f>
        <v>46134</v>
      </c>
      <c r="G43" s="48">
        <f>F43+H43</f>
        <v>46135</v>
      </c>
      <c r="H43" s="52">
        <v>1</v>
      </c>
      <c r="I43" s="2"/>
      <c r="J43" s="5"/>
      <c r="K43" s="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</row>
    <row r="44" spans="1:258" s="6" customFormat="1" ht="24.95" customHeight="1" outlineLevel="1">
      <c r="A44" s="5"/>
      <c r="B44" s="2" t="s">
        <v>98</v>
      </c>
      <c r="C44" s="9" t="s">
        <v>99</v>
      </c>
      <c r="D44" s="64" t="s">
        <v>21</v>
      </c>
      <c r="E44" s="68" t="s">
        <v>100</v>
      </c>
      <c r="F44" s="65">
        <f>G43</f>
        <v>46135</v>
      </c>
      <c r="G44" s="48">
        <f t="shared" ref="G44:G46" si="8">F44+H44</f>
        <v>46137</v>
      </c>
      <c r="H44" s="52">
        <v>2</v>
      </c>
      <c r="I44" s="2"/>
      <c r="J44" s="5"/>
      <c r="K44" s="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</row>
    <row r="45" spans="1:258" s="6" customFormat="1" ht="24.95" customHeight="1" outlineLevel="1">
      <c r="A45" s="5"/>
      <c r="B45" s="2" t="s">
        <v>101</v>
      </c>
      <c r="C45" s="9" t="s">
        <v>102</v>
      </c>
      <c r="D45" s="64" t="s">
        <v>21</v>
      </c>
      <c r="E45" s="68" t="s">
        <v>100</v>
      </c>
      <c r="F45" s="65">
        <f t="shared" ref="F45:F46" si="9">G44</f>
        <v>46137</v>
      </c>
      <c r="G45" s="48">
        <f t="shared" si="8"/>
        <v>46142</v>
      </c>
      <c r="H45" s="52">
        <v>5</v>
      </c>
      <c r="I45" s="2"/>
      <c r="J45" s="5"/>
      <c r="K45" s="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</row>
    <row r="46" spans="1:258" s="6" customFormat="1" ht="24.95" customHeight="1" outlineLevel="1">
      <c r="A46" s="5"/>
      <c r="B46" s="2" t="s">
        <v>103</v>
      </c>
      <c r="C46" s="9" t="s">
        <v>104</v>
      </c>
      <c r="D46" s="64" t="s">
        <v>21</v>
      </c>
      <c r="E46" s="68" t="s">
        <v>105</v>
      </c>
      <c r="F46" s="65">
        <f t="shared" si="9"/>
        <v>46142</v>
      </c>
      <c r="G46" s="48">
        <f t="shared" si="8"/>
        <v>46143</v>
      </c>
      <c r="H46" s="52">
        <v>1</v>
      </c>
      <c r="I46" s="2"/>
      <c r="J46" s="5"/>
      <c r="K46" s="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</row>
    <row r="47" spans="1:258" s="6" customFormat="1" ht="24.95" customHeight="1" outlineLevel="1">
      <c r="A47" s="5"/>
      <c r="B47" s="20">
        <v>8</v>
      </c>
      <c r="C47" s="20" t="s">
        <v>106</v>
      </c>
      <c r="D47" s="30"/>
      <c r="E47" s="31"/>
      <c r="F47" s="32">
        <f>SUM(G46,3)</f>
        <v>46146</v>
      </c>
      <c r="G47" s="33">
        <f>SUM(F47,H47)</f>
        <v>46161</v>
      </c>
      <c r="H47" s="34">
        <f>SUM(H48:H53)</f>
        <v>15</v>
      </c>
      <c r="I47" s="17"/>
      <c r="J47" s="5"/>
      <c r="K47" s="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</row>
    <row r="48" spans="1:258" s="6" customFormat="1" ht="24.95" customHeight="1" outlineLevel="1">
      <c r="A48" s="5"/>
      <c r="B48" s="2" t="s">
        <v>107</v>
      </c>
      <c r="C48" s="9" t="s">
        <v>108</v>
      </c>
      <c r="D48" s="3" t="s">
        <v>21</v>
      </c>
      <c r="E48" t="s">
        <v>109</v>
      </c>
      <c r="F48" s="47">
        <f>F47</f>
        <v>46146</v>
      </c>
      <c r="G48" s="48">
        <f>F48+H48</f>
        <v>46147</v>
      </c>
      <c r="H48" s="53">
        <v>1</v>
      </c>
      <c r="I48" s="2"/>
      <c r="J48" s="5"/>
      <c r="K48" s="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</row>
    <row r="49" spans="1:258" s="6" customFormat="1" ht="24.95" customHeight="1" outlineLevel="1">
      <c r="A49" s="5"/>
      <c r="B49" s="2" t="s">
        <v>110</v>
      </c>
      <c r="C49" s="9" t="s">
        <v>111</v>
      </c>
      <c r="D49" s="3" t="s">
        <v>21</v>
      </c>
      <c r="E49" t="s">
        <v>109</v>
      </c>
      <c r="F49" s="47">
        <f>G48</f>
        <v>46147</v>
      </c>
      <c r="G49" s="48">
        <f t="shared" ref="G49:G53" si="10">F49+H49</f>
        <v>46148</v>
      </c>
      <c r="H49" s="53">
        <v>1</v>
      </c>
      <c r="I49" s="2"/>
      <c r="J49" s="5"/>
      <c r="K49" s="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</row>
    <row r="50" spans="1:258" s="6" customFormat="1" ht="24.95" customHeight="1" outlineLevel="1">
      <c r="A50" s="5"/>
      <c r="B50" s="2" t="s">
        <v>112</v>
      </c>
      <c r="C50" s="9" t="s">
        <v>113</v>
      </c>
      <c r="D50" s="3" t="s">
        <v>21</v>
      </c>
      <c r="E50" t="s">
        <v>109</v>
      </c>
      <c r="F50" s="47">
        <f t="shared" ref="F50:F53" si="11">G49</f>
        <v>46148</v>
      </c>
      <c r="G50" s="48">
        <f t="shared" si="10"/>
        <v>46151</v>
      </c>
      <c r="H50" s="53">
        <v>3</v>
      </c>
      <c r="I50" s="2"/>
      <c r="J50" s="5"/>
      <c r="K50" s="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</row>
    <row r="51" spans="1:258" s="6" customFormat="1" ht="24.95" customHeight="1" outlineLevel="1">
      <c r="A51" s="5"/>
      <c r="B51" s="2" t="s">
        <v>114</v>
      </c>
      <c r="C51" s="9" t="s">
        <v>115</v>
      </c>
      <c r="D51" s="3" t="s">
        <v>21</v>
      </c>
      <c r="E51" t="s">
        <v>116</v>
      </c>
      <c r="F51" s="47">
        <f t="shared" si="11"/>
        <v>46151</v>
      </c>
      <c r="G51" s="48">
        <f t="shared" si="10"/>
        <v>46153</v>
      </c>
      <c r="H51" s="53">
        <v>2</v>
      </c>
      <c r="I51" s="2"/>
      <c r="J51" s="5"/>
      <c r="K51" s="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</row>
    <row r="52" spans="1:258" s="6" customFormat="1" ht="24.95" customHeight="1" outlineLevel="1">
      <c r="A52" s="5"/>
      <c r="B52" s="2" t="s">
        <v>117</v>
      </c>
      <c r="C52" s="9" t="s">
        <v>118</v>
      </c>
      <c r="D52" s="3" t="s">
        <v>21</v>
      </c>
      <c r="E52" t="s">
        <v>109</v>
      </c>
      <c r="F52" s="47">
        <f t="shared" si="11"/>
        <v>46153</v>
      </c>
      <c r="G52" s="48">
        <f t="shared" si="10"/>
        <v>46157</v>
      </c>
      <c r="H52" s="53">
        <v>4</v>
      </c>
      <c r="I52" s="2"/>
      <c r="J52" s="5"/>
      <c r="K52" s="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</row>
    <row r="53" spans="1:258" s="6" customFormat="1" ht="24.95" customHeight="1" outlineLevel="1" thickBot="1">
      <c r="A53" s="5"/>
      <c r="B53" s="2" t="s">
        <v>119</v>
      </c>
      <c r="C53" s="9" t="s">
        <v>120</v>
      </c>
      <c r="D53" s="3" t="s">
        <v>21</v>
      </c>
      <c r="E53" t="s">
        <v>109</v>
      </c>
      <c r="F53" s="47">
        <f t="shared" si="11"/>
        <v>46157</v>
      </c>
      <c r="G53" s="48">
        <f t="shared" si="10"/>
        <v>46161</v>
      </c>
      <c r="H53" s="53">
        <v>4</v>
      </c>
      <c r="I53" s="2"/>
      <c r="J53" s="5"/>
      <c r="K53" s="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</row>
    <row r="54" spans="1:258" s="6" customFormat="1" ht="24.95" customHeight="1" outlineLevel="1">
      <c r="A54" s="5"/>
      <c r="B54" s="38">
        <v>9</v>
      </c>
      <c r="C54" s="61" t="s">
        <v>121</v>
      </c>
      <c r="D54" s="40"/>
      <c r="E54" s="40"/>
      <c r="F54" s="41">
        <f>SUM(G53,3)</f>
        <v>46164</v>
      </c>
      <c r="G54" s="44">
        <f>SUM(F54,H54)</f>
        <v>46165</v>
      </c>
      <c r="H54" s="45">
        <f>SUM(H55)</f>
        <v>1</v>
      </c>
      <c r="I54" s="46"/>
      <c r="J54" s="5"/>
      <c r="K54" s="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</row>
    <row r="55" spans="1:258" s="6" customFormat="1" ht="24.95" customHeight="1" outlineLevel="1">
      <c r="A55" s="5"/>
      <c r="B55" s="2" t="s">
        <v>122</v>
      </c>
      <c r="C55" s="9" t="s">
        <v>123</v>
      </c>
      <c r="D55" s="3" t="s">
        <v>18</v>
      </c>
      <c r="E55" t="s">
        <v>124</v>
      </c>
      <c r="F55" s="47">
        <f>F54</f>
        <v>46164</v>
      </c>
      <c r="G55" s="48">
        <f>F55+H55</f>
        <v>46165</v>
      </c>
      <c r="H55" s="49">
        <v>1</v>
      </c>
      <c r="I55" s="2"/>
      <c r="J55" s="5"/>
      <c r="K55" s="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</row>
    <row r="56" spans="1:258" s="6" customFormat="1" ht="24.95" customHeight="1" outlineLevel="1">
      <c r="A56" s="5"/>
      <c r="B56" s="18">
        <v>10</v>
      </c>
      <c r="C56" s="18" t="s">
        <v>125</v>
      </c>
      <c r="D56" s="21"/>
      <c r="E56" s="22"/>
      <c r="F56" s="23">
        <f>SUM(G55,3)</f>
        <v>46168</v>
      </c>
      <c r="G56" s="24">
        <f>SUM(F56,H56)</f>
        <v>46171</v>
      </c>
      <c r="H56" s="25">
        <f>SUM(H57:H59)</f>
        <v>3</v>
      </c>
      <c r="I56" s="15"/>
      <c r="J56" s="5"/>
      <c r="K56" s="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</row>
    <row r="57" spans="1:258" s="6" customFormat="1" ht="24.95" customHeight="1" outlineLevel="1" thickBot="1">
      <c r="A57" s="5"/>
      <c r="B57" s="2" t="s">
        <v>126</v>
      </c>
      <c r="C57" s="9" t="s">
        <v>127</v>
      </c>
      <c r="D57" s="3" t="s">
        <v>18</v>
      </c>
      <c r="E57" t="s">
        <v>32</v>
      </c>
      <c r="F57" s="47">
        <f>F56</f>
        <v>46168</v>
      </c>
      <c r="G57" s="48">
        <f>F57+H57</f>
        <v>46169</v>
      </c>
      <c r="H57" s="51">
        <v>1</v>
      </c>
      <c r="I57" s="2"/>
      <c r="J57" s="5"/>
      <c r="K57" s="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</row>
    <row r="58" spans="1:258" s="6" customFormat="1" ht="24.95" customHeight="1" outlineLevel="1" thickBot="1">
      <c r="A58" s="5"/>
      <c r="B58" s="2" t="s">
        <v>128</v>
      </c>
      <c r="C58" s="9" t="s">
        <v>129</v>
      </c>
      <c r="D58" s="3" t="s">
        <v>18</v>
      </c>
      <c r="E58" t="s">
        <v>32</v>
      </c>
      <c r="F58" s="47">
        <f>G57</f>
        <v>46169</v>
      </c>
      <c r="G58" s="48">
        <f t="shared" ref="G58:G59" si="12">F58+H58</f>
        <v>46170</v>
      </c>
      <c r="H58" s="51">
        <v>1</v>
      </c>
      <c r="I58" s="2"/>
      <c r="J58" s="5"/>
      <c r="K58" s="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</row>
    <row r="59" spans="1:258" s="6" customFormat="1" ht="24.95" customHeight="1" outlineLevel="1" thickBot="1">
      <c r="A59" s="5"/>
      <c r="B59" s="2" t="s">
        <v>130</v>
      </c>
      <c r="C59" s="9" t="s">
        <v>131</v>
      </c>
      <c r="D59" s="3" t="s">
        <v>18</v>
      </c>
      <c r="E59" t="s">
        <v>32</v>
      </c>
      <c r="F59" s="47">
        <f>G58</f>
        <v>46170</v>
      </c>
      <c r="G59" s="48">
        <f t="shared" si="12"/>
        <v>46171</v>
      </c>
      <c r="H59" s="51">
        <v>1</v>
      </c>
      <c r="I59" s="2"/>
      <c r="J59" s="5"/>
      <c r="K59" s="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</row>
    <row r="60" spans="1:258" ht="30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30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8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8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8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8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</row>
    <row r="409" spans="1:28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</row>
    <row r="410" spans="1:28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</row>
    <row r="411" spans="1:28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</row>
    <row r="412" spans="1:28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</row>
    <row r="413" spans="1:28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</row>
    <row r="414" spans="1:28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</row>
    <row r="415" spans="1:28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</row>
    <row r="416" spans="1:28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  <row r="1098" spans="1:28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</row>
    <row r="1099" spans="1:28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</row>
    <row r="1100" spans="1:28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</row>
    <row r="1101" spans="1:28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</row>
    <row r="1102" spans="1:28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</row>
    <row r="1103" spans="1:28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</row>
    <row r="1104" spans="1:28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</row>
    <row r="1105" spans="1:28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</row>
  </sheetData>
  <phoneticPr fontId="3" type="noConversion"/>
  <conditionalFormatting sqref="D8:D59">
    <cfRule type="containsText" dxfId="68" priority="70" operator="containsText" text="On Hold">
      <formula>NOT(ISERROR(SEARCH("On Hold",D8)))</formula>
    </cfRule>
    <cfRule type="containsText" dxfId="67" priority="71" operator="containsText" text="Complete">
      <formula>NOT(ISERROR(SEARCH("Complete",D8)))</formula>
    </cfRule>
    <cfRule type="containsText" dxfId="66" priority="72" operator="containsText" text="In Progress">
      <formula>NOT(ISERROR(SEARCH("In Progress",D8)))</formula>
    </cfRule>
    <cfRule type="containsText" dxfId="65" priority="73" operator="containsText" text="Not Started">
      <formula>NOT(ISERROR(SEARCH("Not Started",D8)))</formula>
    </cfRule>
  </conditionalFormatting>
  <conditionalFormatting sqref="K8:K11">
    <cfRule type="containsText" dxfId="64" priority="82" stopIfTrue="1" operator="containsText" text="On Hold">
      <formula>NOT(ISERROR(SEARCH("On Hold",K8)))</formula>
    </cfRule>
    <cfRule type="containsText" dxfId="63" priority="83" operator="containsText" text="Complete">
      <formula>NOT(ISERROR(SEARCH("Complete",K8)))</formula>
    </cfRule>
    <cfRule type="containsText" dxfId="62" priority="84" operator="containsText" text="In Progress">
      <formula>NOT(ISERROR(SEARCH("In Progress",K8)))</formula>
    </cfRule>
    <cfRule type="containsText" dxfId="61" priority="85" operator="containsText" text="Not Started">
      <formula>NOT(ISERROR(SEARCH("Not Started",K8)))</formula>
    </cfRule>
  </conditionalFormatting>
  <conditionalFormatting sqref="D9:D15">
    <cfRule type="cellIs" dxfId="60" priority="69" operator="equal">
      <formula>"Completo"</formula>
    </cfRule>
  </conditionalFormatting>
  <conditionalFormatting sqref="D9:D15">
    <cfRule type="cellIs" dxfId="59" priority="66" operator="equal">
      <formula>"En Espera"</formula>
    </cfRule>
    <cfRule type="cellIs" dxfId="58" priority="67" operator="equal">
      <formula>"En Progreso"</formula>
    </cfRule>
    <cfRule type="cellIs" dxfId="57" priority="68" operator="equal">
      <formula>"No Iniciado"</formula>
    </cfRule>
  </conditionalFormatting>
  <conditionalFormatting sqref="D15:D26">
    <cfRule type="cellIs" dxfId="56" priority="65" operator="equal">
      <formula>"Completo"</formula>
    </cfRule>
  </conditionalFormatting>
  <conditionalFormatting sqref="D15:D26">
    <cfRule type="cellIs" dxfId="55" priority="62" operator="equal">
      <formula>"En Espera"</formula>
    </cfRule>
    <cfRule type="cellIs" dxfId="54" priority="63" operator="equal">
      <formula>"En Progreso"</formula>
    </cfRule>
    <cfRule type="cellIs" dxfId="53" priority="64" operator="equal">
      <formula>"No Iniciado"</formula>
    </cfRule>
  </conditionalFormatting>
  <conditionalFormatting sqref="D28:D30">
    <cfRule type="cellIs" dxfId="52" priority="61" operator="equal">
      <formula>"Completo"</formula>
    </cfRule>
  </conditionalFormatting>
  <conditionalFormatting sqref="D28:D30">
    <cfRule type="cellIs" dxfId="51" priority="58" operator="equal">
      <formula>"En Espera"</formula>
    </cfRule>
    <cfRule type="cellIs" dxfId="50" priority="59" operator="equal">
      <formula>"En Progreso"</formula>
    </cfRule>
    <cfRule type="cellIs" dxfId="49" priority="60" operator="equal">
      <formula>"No Iniciado"</formula>
    </cfRule>
  </conditionalFormatting>
  <conditionalFormatting sqref="D32:D34 D41 D55 D57:D59 D36:D39 D43:D46 D48:D53">
    <cfRule type="cellIs" dxfId="48" priority="57" operator="equal">
      <formula>"Completo"</formula>
    </cfRule>
  </conditionalFormatting>
  <conditionalFormatting sqref="D32:D34 D41 D55 D57:D59 D36:D39 D43:D46 D48:D53">
    <cfRule type="cellIs" dxfId="47" priority="54" operator="equal">
      <formula>"En Espera"</formula>
    </cfRule>
    <cfRule type="cellIs" dxfId="46" priority="55" operator="equal">
      <formula>"En Progreso"</formula>
    </cfRule>
    <cfRule type="cellIs" dxfId="45" priority="56" operator="equal">
      <formula>"No Iniciado"</formula>
    </cfRule>
  </conditionalFormatting>
  <conditionalFormatting sqref="D40">
    <cfRule type="cellIs" dxfId="44" priority="45" operator="equal">
      <formula>"Completo"</formula>
    </cfRule>
  </conditionalFormatting>
  <conditionalFormatting sqref="D40">
    <cfRule type="cellIs" dxfId="43" priority="42" operator="equal">
      <formula>"En Espera"</formula>
    </cfRule>
    <cfRule type="cellIs" dxfId="42" priority="43" operator="equal">
      <formula>"En Progreso"</formula>
    </cfRule>
    <cfRule type="cellIs" dxfId="41" priority="44" operator="equal">
      <formula>"No Iniciado"</formula>
    </cfRule>
  </conditionalFormatting>
  <conditionalFormatting sqref="D56">
    <cfRule type="cellIs" dxfId="40" priority="41" operator="equal">
      <formula>"Completo"</formula>
    </cfRule>
  </conditionalFormatting>
  <conditionalFormatting sqref="D56">
    <cfRule type="cellIs" dxfId="39" priority="38" operator="equal">
      <formula>"En Espera"</formula>
    </cfRule>
    <cfRule type="cellIs" dxfId="38" priority="39" operator="equal">
      <formula>"En Progreso"</formula>
    </cfRule>
    <cfRule type="cellIs" dxfId="37" priority="40" operator="equal">
      <formula>"No Iniciado"</formula>
    </cfRule>
  </conditionalFormatting>
  <conditionalFormatting sqref="F33:H33">
    <cfRule type="timePeriod" dxfId="36" priority="37" timePeriod="lastMonth">
      <formula>AND(MONTH(F33)=MONTH(EDATE(TODAY(),0-1)),YEAR(F33)=YEAR(EDATE(TODAY(),0-1)))</formula>
    </cfRule>
  </conditionalFormatting>
  <conditionalFormatting sqref="D10">
    <cfRule type="cellIs" dxfId="35" priority="36" operator="equal">
      <formula>"Completo"</formula>
    </cfRule>
  </conditionalFormatting>
  <conditionalFormatting sqref="D10">
    <cfRule type="cellIs" dxfId="34" priority="33" operator="equal">
      <formula>"En Espera"</formula>
    </cfRule>
    <cfRule type="cellIs" dxfId="33" priority="34" operator="equal">
      <formula>"En Progreso"</formula>
    </cfRule>
    <cfRule type="cellIs" dxfId="32" priority="35" operator="equal">
      <formula>"No Iniciado"</formula>
    </cfRule>
  </conditionalFormatting>
  <conditionalFormatting sqref="D9">
    <cfRule type="cellIs" dxfId="31" priority="32" operator="equal">
      <formula>"Completo"</formula>
    </cfRule>
  </conditionalFormatting>
  <conditionalFormatting sqref="D9">
    <cfRule type="cellIs" dxfId="30" priority="29" operator="equal">
      <formula>"En Espera"</formula>
    </cfRule>
    <cfRule type="cellIs" dxfId="29" priority="30" operator="equal">
      <formula>"En Progreso"</formula>
    </cfRule>
    <cfRule type="cellIs" dxfId="28" priority="31" operator="equal">
      <formula>"No Iniciado"</formula>
    </cfRule>
  </conditionalFormatting>
  <conditionalFormatting sqref="D11">
    <cfRule type="cellIs" dxfId="27" priority="28" operator="equal">
      <formula>"Completo"</formula>
    </cfRule>
  </conditionalFormatting>
  <conditionalFormatting sqref="D11">
    <cfRule type="cellIs" dxfId="26" priority="25" operator="equal">
      <formula>"En Espera"</formula>
    </cfRule>
    <cfRule type="cellIs" dxfId="25" priority="26" operator="equal">
      <formula>"En Progreso"</formula>
    </cfRule>
    <cfRule type="cellIs" dxfId="24" priority="27" operator="equal">
      <formula>"No Iniciado"</formula>
    </cfRule>
  </conditionalFormatting>
  <conditionalFormatting sqref="D28:D30">
    <cfRule type="cellIs" dxfId="23" priority="24" operator="equal">
      <formula>"Completo"</formula>
    </cfRule>
  </conditionalFormatting>
  <conditionalFormatting sqref="D28:D30">
    <cfRule type="cellIs" dxfId="22" priority="21" operator="equal">
      <formula>"En Espera"</formula>
    </cfRule>
    <cfRule type="cellIs" dxfId="21" priority="22" operator="equal">
      <formula>"En Progreso"</formula>
    </cfRule>
    <cfRule type="cellIs" dxfId="20" priority="23" operator="equal">
      <formula>"No Iniciado"</formula>
    </cfRule>
  </conditionalFormatting>
  <conditionalFormatting sqref="D28:D30">
    <cfRule type="cellIs" dxfId="19" priority="20" operator="equal">
      <formula>"Completo"</formula>
    </cfRule>
  </conditionalFormatting>
  <conditionalFormatting sqref="D28:D30">
    <cfRule type="cellIs" dxfId="18" priority="17" operator="equal">
      <formula>"En Espera"</formula>
    </cfRule>
    <cfRule type="cellIs" dxfId="17" priority="18" operator="equal">
      <formula>"En Progreso"</formula>
    </cfRule>
    <cfRule type="cellIs" dxfId="16" priority="19" operator="equal">
      <formula>"No Iniciado"</formula>
    </cfRule>
  </conditionalFormatting>
  <conditionalFormatting sqref="D32:D34">
    <cfRule type="cellIs" dxfId="15" priority="16" operator="equal">
      <formula>"Completo"</formula>
    </cfRule>
  </conditionalFormatting>
  <conditionalFormatting sqref="D32:D34">
    <cfRule type="cellIs" dxfId="14" priority="13" operator="equal">
      <formula>"En Espera"</formula>
    </cfRule>
    <cfRule type="cellIs" dxfId="13" priority="14" operator="equal">
      <formula>"En Progreso"</formula>
    </cfRule>
    <cfRule type="cellIs" dxfId="12" priority="15" operator="equal">
      <formula>"No Iniciado"</formula>
    </cfRule>
  </conditionalFormatting>
  <conditionalFormatting sqref="D32:D34">
    <cfRule type="cellIs" dxfId="11" priority="12" operator="equal">
      <formula>"Completo"</formula>
    </cfRule>
  </conditionalFormatting>
  <conditionalFormatting sqref="D32:D34">
    <cfRule type="cellIs" dxfId="10" priority="9" operator="equal">
      <formula>"En Espera"</formula>
    </cfRule>
    <cfRule type="cellIs" dxfId="9" priority="10" operator="equal">
      <formula>"En Progreso"</formula>
    </cfRule>
    <cfRule type="cellIs" dxfId="8" priority="11" operator="equal">
      <formula>"No Iniciado"</formula>
    </cfRule>
  </conditionalFormatting>
  <conditionalFormatting sqref="D41">
    <cfRule type="cellIs" dxfId="7" priority="8" operator="equal">
      <formula>"Completo"</formula>
    </cfRule>
  </conditionalFormatting>
  <conditionalFormatting sqref="D41">
    <cfRule type="cellIs" dxfId="6" priority="5" operator="equal">
      <formula>"En Espera"</formula>
    </cfRule>
    <cfRule type="cellIs" dxfId="5" priority="6" operator="equal">
      <formula>"En Progreso"</formula>
    </cfRule>
    <cfRule type="cellIs" dxfId="4" priority="7" operator="equal">
      <formula>"No Iniciado"</formula>
    </cfRule>
  </conditionalFormatting>
  <conditionalFormatting sqref="D41">
    <cfRule type="cellIs" dxfId="3" priority="4" operator="equal">
      <formula>"Completo"</formula>
    </cfRule>
  </conditionalFormatting>
  <conditionalFormatting sqref="D41">
    <cfRule type="cellIs" dxfId="2" priority="1" operator="equal">
      <formula>"En Espera"</formula>
    </cfRule>
    <cfRule type="cellIs" dxfId="1" priority="2" operator="equal">
      <formula>"En Progreso"</formula>
    </cfRule>
    <cfRule type="cellIs" dxfId="0" priority="3" operator="equal">
      <formula>"No Iniciado"</formula>
    </cfRule>
  </conditionalFormatting>
  <dataValidations count="1">
    <dataValidation type="list" allowBlank="1" showInputMessage="1" showErrorMessage="1" sqref="D8:D59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REBECA  PEDROZO CUETO</cp:lastModifiedBy>
  <cp:revision/>
  <dcterms:created xsi:type="dcterms:W3CDTF">2015-02-24T20:54:23Z</dcterms:created>
  <dcterms:modified xsi:type="dcterms:W3CDTF">2026-05-02T14:45:10Z</dcterms:modified>
  <cp:category/>
  <cp:contentStatus/>
</cp:coreProperties>
</file>