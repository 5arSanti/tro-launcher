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ORNS (Gestión de Proyectos)/Formatos/"/>
    </mc:Choice>
  </mc:AlternateContent>
  <xr:revisionPtr revIDLastSave="785" documentId="13_ncr:1_{8AA067C4-8E94-4968-B6D4-DDC368AA9E86}" xr6:coauthVersionLast="47" xr6:coauthVersionMax="47" xr10:uidLastSave="{FA603992-F6B2-4517-B363-7E229B226E25}"/>
  <bookViews>
    <workbookView xWindow="-120" yWindow="-120" windowWidth="20640" windowHeight="11760" tabRatio="500" xr2:uid="{00000000-000D-0000-FFFF-FFFF00000000}"/>
  </bookViews>
  <sheets>
    <sheet name="Presupuesto modificaciones" sheetId="7" r:id="rId1"/>
    <sheet name="Presupuesto del proyecto" sheetId="6" r:id="rId2"/>
  </sheets>
  <externalReferences>
    <externalReference r:id="rId3"/>
  </externalReferences>
  <definedNames>
    <definedName name="_xlnm.Print_Area" localSheetId="1">'Presupuesto del proyecto'!$B$1:$T$58</definedName>
    <definedName name="_xlnm.Print_Area" localSheetId="0">'Presupuesto modificaciones'!$B$1:$T$58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6" i="7" l="1"/>
  <c r="K56" i="7"/>
  <c r="S56" i="7" s="1"/>
  <c r="T56" i="7" s="1"/>
  <c r="N55" i="7"/>
  <c r="K55" i="7"/>
  <c r="S55" i="7" s="1"/>
  <c r="T55" i="7" s="1"/>
  <c r="N54" i="7"/>
  <c r="K54" i="7"/>
  <c r="S54" i="7" s="1"/>
  <c r="T54" i="7" s="1"/>
  <c r="R53" i="7"/>
  <c r="Q53" i="7"/>
  <c r="P53" i="7"/>
  <c r="O53" i="7"/>
  <c r="N53" i="7"/>
  <c r="M53" i="7"/>
  <c r="L53" i="7"/>
  <c r="K53" i="7"/>
  <c r="S53" i="7" s="1"/>
  <c r="T53" i="7" s="1"/>
  <c r="J53" i="7"/>
  <c r="I53" i="7"/>
  <c r="N52" i="7"/>
  <c r="K52" i="7"/>
  <c r="S52" i="7" s="1"/>
  <c r="T52" i="7" s="1"/>
  <c r="R51" i="7"/>
  <c r="Q51" i="7"/>
  <c r="P51" i="7"/>
  <c r="O51" i="7"/>
  <c r="N51" i="7"/>
  <c r="M51" i="7"/>
  <c r="L51" i="7"/>
  <c r="K51" i="7"/>
  <c r="S51" i="7" s="1"/>
  <c r="T51" i="7" s="1"/>
  <c r="J51" i="7"/>
  <c r="I51" i="7"/>
  <c r="N50" i="7"/>
  <c r="K50" i="7"/>
  <c r="S50" i="7" s="1"/>
  <c r="T50" i="7" s="1"/>
  <c r="N49" i="7"/>
  <c r="K49" i="7"/>
  <c r="S49" i="7" s="1"/>
  <c r="T49" i="7" s="1"/>
  <c r="N48" i="7"/>
  <c r="K48" i="7"/>
  <c r="S48" i="7" s="1"/>
  <c r="T48" i="7" s="1"/>
  <c r="N47" i="7"/>
  <c r="K47" i="7"/>
  <c r="S47" i="7" s="1"/>
  <c r="T47" i="7" s="1"/>
  <c r="N46" i="7"/>
  <c r="K46" i="7"/>
  <c r="S46" i="7" s="1"/>
  <c r="T46" i="7" s="1"/>
  <c r="N45" i="7"/>
  <c r="K45" i="7"/>
  <c r="S45" i="7" s="1"/>
  <c r="T45" i="7" s="1"/>
  <c r="R44" i="7"/>
  <c r="Q44" i="7"/>
  <c r="P44" i="7"/>
  <c r="O44" i="7"/>
  <c r="N44" i="7"/>
  <c r="M44" i="7"/>
  <c r="L44" i="7"/>
  <c r="K44" i="7"/>
  <c r="S44" i="7" s="1"/>
  <c r="T44" i="7" s="1"/>
  <c r="J44" i="7"/>
  <c r="I44" i="7"/>
  <c r="N43" i="7"/>
  <c r="K43" i="7"/>
  <c r="S43" i="7" s="1"/>
  <c r="T43" i="7" s="1"/>
  <c r="N42" i="7"/>
  <c r="K42" i="7"/>
  <c r="S42" i="7" s="1"/>
  <c r="T42" i="7" s="1"/>
  <c r="N41" i="7"/>
  <c r="K41" i="7"/>
  <c r="S41" i="7" s="1"/>
  <c r="T41" i="7" s="1"/>
  <c r="N40" i="7"/>
  <c r="K40" i="7"/>
  <c r="S40" i="7" s="1"/>
  <c r="T40" i="7" s="1"/>
  <c r="R39" i="7"/>
  <c r="Q39" i="7"/>
  <c r="P39" i="7"/>
  <c r="O39" i="7"/>
  <c r="N39" i="7"/>
  <c r="M39" i="7"/>
  <c r="L39" i="7"/>
  <c r="K39" i="7"/>
  <c r="S39" i="7" s="1"/>
  <c r="T39" i="7" s="1"/>
  <c r="J39" i="7"/>
  <c r="I39" i="7"/>
  <c r="N38" i="7"/>
  <c r="K38" i="7"/>
  <c r="S38" i="7" s="1"/>
  <c r="T38" i="7" s="1"/>
  <c r="R37" i="7"/>
  <c r="Q37" i="7"/>
  <c r="P37" i="7"/>
  <c r="O37" i="7"/>
  <c r="N37" i="7"/>
  <c r="M37" i="7"/>
  <c r="L37" i="7"/>
  <c r="K37" i="7"/>
  <c r="S37" i="7" s="1"/>
  <c r="T37" i="7" s="1"/>
  <c r="J37" i="7"/>
  <c r="I37" i="7"/>
  <c r="N36" i="7"/>
  <c r="K36" i="7"/>
  <c r="S36" i="7" s="1"/>
  <c r="T36" i="7" s="1"/>
  <c r="N35" i="7"/>
  <c r="K35" i="7"/>
  <c r="S35" i="7" s="1"/>
  <c r="T35" i="7" s="1"/>
  <c r="N34" i="7"/>
  <c r="K34" i="7"/>
  <c r="S34" i="7" s="1"/>
  <c r="T34" i="7" s="1"/>
  <c r="N33" i="7"/>
  <c r="K33" i="7"/>
  <c r="S33" i="7" s="1"/>
  <c r="T33" i="7" s="1"/>
  <c r="R32" i="7"/>
  <c r="Q32" i="7"/>
  <c r="P32" i="7"/>
  <c r="O32" i="7"/>
  <c r="N32" i="7"/>
  <c r="M32" i="7"/>
  <c r="L32" i="7"/>
  <c r="K32" i="7"/>
  <c r="S32" i="7" s="1"/>
  <c r="T32" i="7" s="1"/>
  <c r="J32" i="7"/>
  <c r="I32" i="7"/>
  <c r="N31" i="7"/>
  <c r="K31" i="7"/>
  <c r="S31" i="7" s="1"/>
  <c r="T31" i="7" s="1"/>
  <c r="N30" i="7"/>
  <c r="K30" i="7"/>
  <c r="S30" i="7" s="1"/>
  <c r="T30" i="7" s="1"/>
  <c r="N29" i="7"/>
  <c r="K29" i="7"/>
  <c r="S29" i="7" s="1"/>
  <c r="T29" i="7" s="1"/>
  <c r="R28" i="7"/>
  <c r="Q28" i="7"/>
  <c r="P28" i="7"/>
  <c r="O28" i="7"/>
  <c r="N28" i="7"/>
  <c r="M28" i="7"/>
  <c r="L28" i="7"/>
  <c r="K28" i="7"/>
  <c r="S28" i="7" s="1"/>
  <c r="T28" i="7" s="1"/>
  <c r="J28" i="7"/>
  <c r="I28" i="7"/>
  <c r="N27" i="7"/>
  <c r="K27" i="7"/>
  <c r="S27" i="7" s="1"/>
  <c r="T27" i="7" s="1"/>
  <c r="N26" i="7"/>
  <c r="K26" i="7"/>
  <c r="S26" i="7" s="1"/>
  <c r="T26" i="7" s="1"/>
  <c r="N25" i="7"/>
  <c r="K25" i="7"/>
  <c r="S25" i="7" s="1"/>
  <c r="T25" i="7" s="1"/>
  <c r="R24" i="7"/>
  <c r="Q24" i="7"/>
  <c r="P24" i="7"/>
  <c r="O24" i="7"/>
  <c r="N24" i="7"/>
  <c r="M24" i="7"/>
  <c r="L24" i="7"/>
  <c r="K24" i="7"/>
  <c r="S24" i="7" s="1"/>
  <c r="T24" i="7" s="1"/>
  <c r="J24" i="7"/>
  <c r="I24" i="7"/>
  <c r="N23" i="7"/>
  <c r="K23" i="7"/>
  <c r="S23" i="7" s="1"/>
  <c r="T23" i="7" s="1"/>
  <c r="N22" i="7"/>
  <c r="K22" i="7"/>
  <c r="S22" i="7" s="1"/>
  <c r="T22" i="7" s="1"/>
  <c r="N21" i="7"/>
  <c r="K21" i="7"/>
  <c r="S21" i="7" s="1"/>
  <c r="T21" i="7" s="1"/>
  <c r="N20" i="7"/>
  <c r="K20" i="7"/>
  <c r="S20" i="7" s="1"/>
  <c r="T20" i="7" s="1"/>
  <c r="N19" i="7"/>
  <c r="K19" i="7"/>
  <c r="S19" i="7" s="1"/>
  <c r="T19" i="7" s="1"/>
  <c r="N18" i="7"/>
  <c r="K18" i="7"/>
  <c r="S18" i="7" s="1"/>
  <c r="T18" i="7" s="1"/>
  <c r="R17" i="7"/>
  <c r="Q17" i="7"/>
  <c r="P17" i="7"/>
  <c r="O17" i="7"/>
  <c r="N17" i="7"/>
  <c r="M17" i="7"/>
  <c r="L17" i="7"/>
  <c r="K17" i="7"/>
  <c r="S17" i="7" s="1"/>
  <c r="T17" i="7" s="1"/>
  <c r="J17" i="7"/>
  <c r="I17" i="7"/>
  <c r="N16" i="7"/>
  <c r="K16" i="7"/>
  <c r="S16" i="7" s="1"/>
  <c r="T16" i="7" s="1"/>
  <c r="N15" i="7"/>
  <c r="K15" i="7"/>
  <c r="S15" i="7" s="1"/>
  <c r="T15" i="7" s="1"/>
  <c r="N14" i="7"/>
  <c r="K14" i="7"/>
  <c r="S14" i="7" s="1"/>
  <c r="T14" i="7" s="1"/>
  <c r="N13" i="7"/>
  <c r="K13" i="7"/>
  <c r="S13" i="7" s="1"/>
  <c r="T13" i="7" s="1"/>
  <c r="N12" i="7"/>
  <c r="K12" i="7"/>
  <c r="S12" i="7" s="1"/>
  <c r="T12" i="7" s="1"/>
  <c r="N11" i="7"/>
  <c r="K11" i="7"/>
  <c r="S11" i="7" s="1"/>
  <c r="T11" i="7" s="1"/>
  <c r="N10" i="7"/>
  <c r="K10" i="7"/>
  <c r="S10" i="7" s="1"/>
  <c r="T10" i="7" s="1"/>
  <c r="N9" i="7"/>
  <c r="K9" i="7"/>
  <c r="S9" i="7" s="1"/>
  <c r="T9" i="7" s="1"/>
  <c r="N8" i="7"/>
  <c r="K8" i="7"/>
  <c r="S8" i="7" s="1"/>
  <c r="T8" i="7" s="1"/>
  <c r="N7" i="7"/>
  <c r="K7" i="7"/>
  <c r="S7" i="7" s="1"/>
  <c r="T7" i="7" s="1"/>
  <c r="N6" i="7"/>
  <c r="K6" i="7"/>
  <c r="S6" i="7" s="1"/>
  <c r="T6" i="7" s="1"/>
  <c r="R5" i="7"/>
  <c r="R57" i="7" s="1"/>
  <c r="Q5" i="7"/>
  <c r="Q57" i="7" s="1"/>
  <c r="P5" i="7"/>
  <c r="P57" i="7" s="1"/>
  <c r="O5" i="7"/>
  <c r="O57" i="7" s="1"/>
  <c r="N5" i="7"/>
  <c r="N57" i="7" s="1"/>
  <c r="M5" i="7"/>
  <c r="M57" i="7" s="1"/>
  <c r="L5" i="7"/>
  <c r="K5" i="7"/>
  <c r="K57" i="7" s="1"/>
  <c r="S57" i="7" s="1"/>
  <c r="J5" i="7"/>
  <c r="I5" i="7"/>
  <c r="R53" i="6"/>
  <c r="Q53" i="6"/>
  <c r="R51" i="6"/>
  <c r="Q51" i="6"/>
  <c r="R44" i="6"/>
  <c r="Q44" i="6"/>
  <c r="R39" i="6"/>
  <c r="Q39" i="6"/>
  <c r="R37" i="6"/>
  <c r="Q37" i="6"/>
  <c r="R32" i="6"/>
  <c r="Q32" i="6"/>
  <c r="R28" i="6"/>
  <c r="Q28" i="6"/>
  <c r="R24" i="6"/>
  <c r="R17" i="6"/>
  <c r="R5" i="6"/>
  <c r="R57" i="6" s="1"/>
  <c r="P28" i="6"/>
  <c r="P37" i="6"/>
  <c r="P39" i="6"/>
  <c r="P44" i="6"/>
  <c r="P53" i="6"/>
  <c r="P51" i="6"/>
  <c r="P17" i="6"/>
  <c r="P5" i="6"/>
  <c r="Q24" i="6"/>
  <c r="P24" i="6"/>
  <c r="O24" i="6"/>
  <c r="Q17" i="6"/>
  <c r="O17" i="6"/>
  <c r="Q5" i="6"/>
  <c r="Q57" i="6" s="1"/>
  <c r="O5" i="6"/>
  <c r="P32" i="6"/>
  <c r="O53" i="6"/>
  <c r="O51" i="6"/>
  <c r="O44" i="6"/>
  <c r="O39" i="6"/>
  <c r="O37" i="6"/>
  <c r="O32" i="6"/>
  <c r="O28" i="6"/>
  <c r="L5" i="6"/>
  <c r="M5" i="6"/>
  <c r="N6" i="6"/>
  <c r="N7" i="6"/>
  <c r="N8" i="6"/>
  <c r="N9" i="6"/>
  <c r="N10" i="6"/>
  <c r="N11" i="6"/>
  <c r="N12" i="6"/>
  <c r="N13" i="6"/>
  <c r="N14" i="6"/>
  <c r="N15" i="6"/>
  <c r="N16" i="6"/>
  <c r="L17" i="6"/>
  <c r="M17" i="6"/>
  <c r="N18" i="6"/>
  <c r="N19" i="6"/>
  <c r="N20" i="6"/>
  <c r="N21" i="6"/>
  <c r="N22" i="6"/>
  <c r="N23" i="6"/>
  <c r="L24" i="6"/>
  <c r="M24" i="6"/>
  <c r="N25" i="6"/>
  <c r="N26" i="6"/>
  <c r="N27" i="6"/>
  <c r="L28" i="6"/>
  <c r="M28" i="6"/>
  <c r="N29" i="6"/>
  <c r="N30" i="6"/>
  <c r="N31" i="6"/>
  <c r="L32" i="6"/>
  <c r="M32" i="6"/>
  <c r="N33" i="6"/>
  <c r="N34" i="6"/>
  <c r="N35" i="6"/>
  <c r="N36" i="6"/>
  <c r="L37" i="6"/>
  <c r="M37" i="6"/>
  <c r="N38" i="6"/>
  <c r="N37" i="6" s="1"/>
  <c r="L39" i="6"/>
  <c r="M39" i="6"/>
  <c r="N40" i="6"/>
  <c r="N41" i="6"/>
  <c r="N42" i="6"/>
  <c r="N43" i="6"/>
  <c r="L44" i="6"/>
  <c r="M44" i="6"/>
  <c r="N45" i="6"/>
  <c r="N46" i="6"/>
  <c r="N47" i="6"/>
  <c r="N48" i="6"/>
  <c r="N49" i="6"/>
  <c r="N50" i="6"/>
  <c r="L51" i="6"/>
  <c r="M51" i="6"/>
  <c r="N52" i="6"/>
  <c r="N51" i="6" s="1"/>
  <c r="L53" i="6"/>
  <c r="M53" i="6"/>
  <c r="N54" i="6"/>
  <c r="N55" i="6"/>
  <c r="N56" i="6"/>
  <c r="K31" i="6"/>
  <c r="J53" i="6"/>
  <c r="J51" i="6"/>
  <c r="I51" i="6"/>
  <c r="J44" i="6"/>
  <c r="I44" i="6"/>
  <c r="J39" i="6"/>
  <c r="I39" i="6"/>
  <c r="J37" i="6"/>
  <c r="I37" i="6"/>
  <c r="J32" i="6"/>
  <c r="I32" i="6"/>
  <c r="J28" i="6"/>
  <c r="I28" i="6"/>
  <c r="J24" i="6"/>
  <c r="I24" i="6"/>
  <c r="J17" i="6"/>
  <c r="I53" i="6"/>
  <c r="I17" i="6"/>
  <c r="J5" i="6"/>
  <c r="I5" i="6"/>
  <c r="K18" i="6"/>
  <c r="K19" i="6"/>
  <c r="K20" i="6"/>
  <c r="S20" i="6" s="1"/>
  <c r="T20" i="6" s="1"/>
  <c r="K21" i="6"/>
  <c r="K22" i="6"/>
  <c r="S22" i="6" s="1"/>
  <c r="T22" i="6" s="1"/>
  <c r="K23" i="6"/>
  <c r="K25" i="6"/>
  <c r="K26" i="6"/>
  <c r="K27" i="6"/>
  <c r="S27" i="6" s="1"/>
  <c r="T27" i="6" s="1"/>
  <c r="K29" i="6"/>
  <c r="K30" i="6"/>
  <c r="K33" i="6"/>
  <c r="S33" i="6" s="1"/>
  <c r="T33" i="6" s="1"/>
  <c r="K34" i="6"/>
  <c r="S34" i="6" s="1"/>
  <c r="T34" i="6" s="1"/>
  <c r="K35" i="6"/>
  <c r="K36" i="6"/>
  <c r="K38" i="6"/>
  <c r="K37" i="6" s="1"/>
  <c r="K40" i="6"/>
  <c r="K41" i="6"/>
  <c r="K42" i="6"/>
  <c r="K43" i="6"/>
  <c r="K45" i="6"/>
  <c r="K46" i="6"/>
  <c r="K47" i="6"/>
  <c r="K48" i="6"/>
  <c r="K49" i="6"/>
  <c r="K50" i="6"/>
  <c r="K52" i="6"/>
  <c r="S52" i="6" s="1"/>
  <c r="T52" i="6" s="1"/>
  <c r="K54" i="6"/>
  <c r="K55" i="6"/>
  <c r="K6" i="6"/>
  <c r="K16" i="6"/>
  <c r="K15" i="6"/>
  <c r="K14" i="6"/>
  <c r="S14" i="6" s="1"/>
  <c r="T14" i="6" s="1"/>
  <c r="K13" i="6"/>
  <c r="S59" i="7" l="1"/>
  <c r="S61" i="7" s="1"/>
  <c r="T57" i="7"/>
  <c r="M57" i="6"/>
  <c r="O57" i="6"/>
  <c r="P57" i="6"/>
  <c r="S55" i="6"/>
  <c r="T55" i="6" s="1"/>
  <c r="S31" i="6"/>
  <c r="T31" i="6" s="1"/>
  <c r="S15" i="6"/>
  <c r="T15" i="6" s="1"/>
  <c r="S36" i="6"/>
  <c r="T36" i="6" s="1"/>
  <c r="S21" i="6"/>
  <c r="T21" i="6" s="1"/>
  <c r="S23" i="6"/>
  <c r="T23" i="6" s="1"/>
  <c r="N53" i="6"/>
  <c r="S49" i="6"/>
  <c r="T49" i="6" s="1"/>
  <c r="S48" i="6"/>
  <c r="T48" i="6" s="1"/>
  <c r="S47" i="6"/>
  <c r="T47" i="6" s="1"/>
  <c r="N44" i="6"/>
  <c r="S46" i="6"/>
  <c r="T46" i="6" s="1"/>
  <c r="S45" i="6"/>
  <c r="T45" i="6" s="1"/>
  <c r="N39" i="6"/>
  <c r="N32" i="6"/>
  <c r="S30" i="6"/>
  <c r="T30" i="6" s="1"/>
  <c r="N28" i="6"/>
  <c r="S29" i="6"/>
  <c r="T29" i="6" s="1"/>
  <c r="N24" i="6"/>
  <c r="S19" i="6"/>
  <c r="T19" i="6" s="1"/>
  <c r="N17" i="6"/>
  <c r="S18" i="6"/>
  <c r="T18" i="6" s="1"/>
  <c r="N5" i="6"/>
  <c r="S13" i="6"/>
  <c r="T13" i="6" s="1"/>
  <c r="S16" i="6"/>
  <c r="T16" i="6" s="1"/>
  <c r="K17" i="6"/>
  <c r="S40" i="6"/>
  <c r="T40" i="6" s="1"/>
  <c r="S54" i="6"/>
  <c r="T54" i="6" s="1"/>
  <c r="S38" i="6"/>
  <c r="T38" i="6" s="1"/>
  <c r="S50" i="6"/>
  <c r="T50" i="6" s="1"/>
  <c r="S35" i="6"/>
  <c r="T35" i="6" s="1"/>
  <c r="S43" i="6"/>
  <c r="T43" i="6" s="1"/>
  <c r="S42" i="6"/>
  <c r="T42" i="6" s="1"/>
  <c r="S26" i="6"/>
  <c r="T26" i="6" s="1"/>
  <c r="S25" i="6"/>
  <c r="T25" i="6" s="1"/>
  <c r="S41" i="6"/>
  <c r="T41" i="6" s="1"/>
  <c r="K28" i="6"/>
  <c r="K39" i="6"/>
  <c r="K44" i="6"/>
  <c r="K32" i="6"/>
  <c r="K51" i="6"/>
  <c r="K24" i="6"/>
  <c r="N57" i="6" l="1"/>
  <c r="K7" i="6"/>
  <c r="K8" i="6"/>
  <c r="K9" i="6"/>
  <c r="K10" i="6"/>
  <c r="K11" i="6"/>
  <c r="K12" i="6"/>
  <c r="S12" i="6" s="1"/>
  <c r="T12" i="6" s="1"/>
  <c r="K56" i="6"/>
  <c r="K53" i="6" s="1"/>
  <c r="K5" i="6" l="1"/>
  <c r="K57" i="6" s="1"/>
  <c r="S57" i="6" s="1"/>
  <c r="S6" i="6"/>
  <c r="T6" i="6" s="1"/>
  <c r="S7" i="6"/>
  <c r="T7" i="6" s="1"/>
  <c r="S10" i="6"/>
  <c r="T10" i="6" s="1"/>
  <c r="S8" i="6"/>
  <c r="T8" i="6" s="1"/>
  <c r="S56" i="6"/>
  <c r="T56" i="6" s="1"/>
  <c r="S9" i="6"/>
  <c r="T9" i="6" s="1"/>
  <c r="S11" i="6"/>
  <c r="T11" i="6" s="1"/>
  <c r="S17" i="6"/>
  <c r="T17" i="6" s="1"/>
  <c r="S24" i="6"/>
  <c r="T24" i="6" s="1"/>
  <c r="S28" i="6"/>
  <c r="T28" i="6" s="1"/>
  <c r="S32" i="6"/>
  <c r="T32" i="6" s="1"/>
  <c r="S37" i="6"/>
  <c r="T37" i="6" s="1"/>
  <c r="S39" i="6"/>
  <c r="T39" i="6" s="1"/>
  <c r="S44" i="6"/>
  <c r="T44" i="6" s="1"/>
  <c r="S51" i="6"/>
  <c r="T51" i="6" s="1"/>
  <c r="S53" i="6"/>
  <c r="T53" i="6" s="1"/>
  <c r="T57" i="6" l="1"/>
  <c r="S59" i="6"/>
  <c r="S61" i="6" s="1"/>
</calcChain>
</file>

<file path=xl/sharedStrings.xml><?xml version="1.0" encoding="utf-8"?>
<sst xmlns="http://schemas.openxmlformats.org/spreadsheetml/2006/main" count="342" uniqueCount="87">
  <si>
    <t>Presupuesto de Proyecto</t>
  </si>
  <si>
    <t>Proyecto TORNS</t>
  </si>
  <si>
    <t>Johel Arias
Rebeca Pedrozo
Nicolas Daza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</si>
  <si>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</si>
  <si>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</si>
  <si>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</si>
  <si>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</si>
  <si>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</si>
  <si>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</si>
  <si>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</si>
  <si>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</si>
  <si>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</si>
  <si>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</si>
  <si>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</si>
  <si>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</si>
  <si>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</si>
  <si>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</si>
  <si>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</si>
  <si>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</si>
  <si>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</si>
  <si>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</si>
  <si>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</si>
  <si>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</si>
  <si>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</si>
  <si>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</si>
  <si>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TORNS. Train Optimization Routes and Navigation System</t>
  </si>
  <si>
    <t>Estado</t>
  </si>
  <si>
    <t>Fase 1. Documentación y gestión del proyecto</t>
  </si>
  <si>
    <t>No Iniciado</t>
  </si>
  <si>
    <t xml:space="preserve">Planteamiento del problema </t>
  </si>
  <si>
    <t>Completo</t>
  </si>
  <si>
    <t>En progreso</t>
  </si>
  <si>
    <t xml:space="preserve">Justificación del planteamiento del proyecto </t>
  </si>
  <si>
    <t xml:space="preserve">Marco teoríco y conceptual del proyecto </t>
  </si>
  <si>
    <t>En Espera</t>
  </si>
  <si>
    <t xml:space="preserve">Identificación de objetivos generales y específicos del proyecto </t>
  </si>
  <si>
    <t xml:space="preserve">Delimitación y alcance del proyecto </t>
  </si>
  <si>
    <t xml:space="preserve">Problematica del proyecto </t>
  </si>
  <si>
    <t xml:space="preserve">Factibilidad del proyecto </t>
  </si>
  <si>
    <t xml:space="preserve">Indentificación de stakeholders e interesados </t>
  </si>
  <si>
    <t>Elaboracion de EDT</t>
  </si>
  <si>
    <t>Definir entregables principales</t>
  </si>
  <si>
    <t xml:space="preserve">Estimar recursos, costos y presupuesto </t>
  </si>
  <si>
    <t xml:space="preserve">Fase 2. Requerimientos del proyecto </t>
  </si>
  <si>
    <t xml:space="preserve">Definición de requerimientos funcionales </t>
  </si>
  <si>
    <t xml:space="preserve">Creación de tablas de requerimientos funcionales </t>
  </si>
  <si>
    <t xml:space="preserve">Definición de requerimientos no funcionales </t>
  </si>
  <si>
    <t xml:space="preserve">Creación de tablas de requerimientos no funcionales </t>
  </si>
  <si>
    <t xml:space="preserve">Planteamiento de casos de uso de requerimientos funcionales </t>
  </si>
  <si>
    <t xml:space="preserve">Planteamiento de casos de uso de requerimientos no funcionales </t>
  </si>
  <si>
    <t xml:space="preserve">Fase 3. Diagramación de software </t>
  </si>
  <si>
    <t xml:space="preserve">Diagrama de flujo de datos </t>
  </si>
  <si>
    <t xml:space="preserve">Diagrama de arquitectura </t>
  </si>
  <si>
    <t>Diagrama entidad-relación</t>
  </si>
  <si>
    <t>Fase 4. Diseño de Interfaz de Usuario</t>
  </si>
  <si>
    <t xml:space="preserve">Mapa de navegación </t>
  </si>
  <si>
    <t xml:space="preserve">Mockups </t>
  </si>
  <si>
    <t xml:space="preserve">Prototipo funcional </t>
  </si>
  <si>
    <t xml:space="preserve">Fase 5. Desarrollo - Entrenamiento del modelo  </t>
  </si>
  <si>
    <t>Identificación y búsqueda de datasets</t>
  </si>
  <si>
    <t xml:space="preserve">Definición de hiperparámetros </t>
  </si>
  <si>
    <t xml:space="preserve">Limpieza y procesamiento de imágenes </t>
  </si>
  <si>
    <t xml:space="preserve">Entrenamiento del modelo </t>
  </si>
  <si>
    <t xml:space="preserve">Fase 6. Base de datos   </t>
  </si>
  <si>
    <t xml:space="preserve">Creación del modelo </t>
  </si>
  <si>
    <t xml:space="preserve">Fase 7. Desarrollo - Backend/API   </t>
  </si>
  <si>
    <t xml:space="preserve">Montaje de infraestructura </t>
  </si>
  <si>
    <t xml:space="preserve">Implementación de patrones de diseño </t>
  </si>
  <si>
    <t xml:space="preserve">Creación de endpoints </t>
  </si>
  <si>
    <t xml:space="preserve">Integración con el modelo </t>
  </si>
  <si>
    <t xml:space="preserve">Fase 8. Desarrollo - Frontend / Interfaz visual    </t>
  </si>
  <si>
    <t xml:space="preserve">Integración con dependencias </t>
  </si>
  <si>
    <t xml:space="preserve">Configuración del framework </t>
  </si>
  <si>
    <t xml:space="preserve">Creación de componentes </t>
  </si>
  <si>
    <t xml:space="preserve">Configuración de manual de marca según diseño </t>
  </si>
  <si>
    <t xml:space="preserve">Creación de interfaces principales </t>
  </si>
  <si>
    <t>Integración con backend</t>
  </si>
  <si>
    <t xml:space="preserve">Fase 9. Fase de pruebas </t>
  </si>
  <si>
    <t xml:space="preserve">Pruebas funcionales </t>
  </si>
  <si>
    <t>Fase 10. Cierre</t>
  </si>
  <si>
    <t>Validar resultados con interesados</t>
  </si>
  <si>
    <t>Finalizacion del Informe Final</t>
  </si>
  <si>
    <t>Realizar cierre del proyecto</t>
  </si>
  <si>
    <t>SUBTOTAL</t>
  </si>
  <si>
    <t>Presupuesto</t>
  </si>
  <si>
    <t>Reserva</t>
  </si>
  <si>
    <t>Presupuesto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</si>
</sst>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/dd/yy;@"/>
    <numFmt numFmtId="166" formatCode="_(&quot;$&quot;* #,##0_);_(&quot;$&quot;* \(#,##0\);_(&quot;$&quot;* &quot;-&quot;??_);_(@_)"/>
    <numFmt numFmtId="167" formatCode="mm/dd"/>
    <numFmt numFmtId="168" formatCode="&quot;$&quot;\ #,##0.0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1"/>
      <color theme="1"/>
      <name val="Century Gothic"/>
      <family val="1"/>
    </font>
    <font>
      <b/>
      <sz val="10"/>
      <color rgb="FF001033"/>
      <name val="Century Gothic"/>
      <family val="1"/>
    </font>
    <font>
      <b/>
      <sz val="10"/>
      <color theme="0"/>
      <name val="Century Gothic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108">
    <xf numFmtId="0" fontId="0" fillId="0" borderId="0" xfId="0"/>
    <xf numFmtId="164" fontId="4" fillId="3" borderId="0" xfId="0" applyNumberFormat="1" applyFont="1" applyFill="1" applyAlignment="1" applyProtection="1">
      <alignment wrapText="1"/>
      <protection locked="0"/>
    </xf>
    <xf numFmtId="7" fontId="4" fillId="3" borderId="0" xfId="1" applyNumberFormat="1" applyFont="1" applyFill="1" applyBorder="1" applyAlignment="1" applyProtection="1">
      <alignment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4" fontId="4" fillId="3" borderId="0" xfId="0" applyNumberFormat="1" applyFont="1" applyFill="1" applyAlignment="1" applyProtection="1">
      <alignment horizontal="left" vertical="center" wrapText="1" indent="1"/>
      <protection locked="0"/>
    </xf>
    <xf numFmtId="7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43" fontId="4" fillId="3" borderId="0" xfId="1" applyNumberFormat="1" applyFont="1" applyFill="1" applyBorder="1" applyAlignment="1" applyProtection="1">
      <alignment horizontal="left" vertical="center" wrapText="1" indent="1"/>
    </xf>
    <xf numFmtId="43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165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7" fontId="11" fillId="5" borderId="1" xfId="1" applyNumberFormat="1" applyFont="1" applyFill="1" applyBorder="1" applyAlignment="1" applyProtection="1">
      <alignment vertical="center"/>
      <protection locked="0"/>
    </xf>
    <xf numFmtId="0" fontId="14" fillId="3" borderId="0" xfId="0" applyFont="1" applyFill="1" applyAlignment="1">
      <alignment vertical="center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7" fontId="4" fillId="0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1" xfId="0" applyNumberFormat="1" applyFont="1" applyBorder="1" applyAlignment="1" applyProtection="1">
      <alignment horizontal="right" vertical="center"/>
      <protection locked="0"/>
    </xf>
    <xf numFmtId="0" fontId="11" fillId="2" borderId="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64" fontId="12" fillId="5" borderId="7" xfId="0" applyNumberFormat="1" applyFont="1" applyFill="1" applyBorder="1" applyAlignment="1" applyProtection="1">
      <alignment horizontal="left" vertical="center"/>
      <protection locked="0"/>
    </xf>
    <xf numFmtId="0" fontId="11" fillId="2" borderId="10" xfId="0" applyFont="1" applyFill="1" applyBorder="1" applyAlignment="1">
      <alignment horizontal="center" vertical="center" wrapText="1"/>
    </xf>
    <xf numFmtId="166" fontId="11" fillId="5" borderId="13" xfId="1" applyNumberFormat="1" applyFont="1" applyFill="1" applyBorder="1" applyAlignment="1" applyProtection="1">
      <alignment vertical="center"/>
      <protection locked="0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horizontal="center" vertical="center" wrapText="1"/>
    </xf>
    <xf numFmtId="165" fontId="11" fillId="5" borderId="17" xfId="0" applyNumberFormat="1" applyFont="1" applyFill="1" applyBorder="1" applyAlignment="1">
      <alignment horizontal="left" vertical="center" wrapText="1" indent="1"/>
    </xf>
    <xf numFmtId="165" fontId="5" fillId="4" borderId="1" xfId="0" applyNumberFormat="1" applyFont="1" applyFill="1" applyBorder="1" applyAlignment="1">
      <alignment horizontal="left" vertical="center" wrapText="1" indent="1"/>
    </xf>
    <xf numFmtId="165" fontId="5" fillId="4" borderId="17" xfId="0" applyNumberFormat="1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5" fontId="4" fillId="4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9" xfId="1" applyNumberFormat="1" applyFont="1" applyFill="1" applyBorder="1" applyAlignment="1" applyProtection="1">
      <alignment vertical="center"/>
      <protection locked="0"/>
    </xf>
    <xf numFmtId="166" fontId="4" fillId="6" borderId="13" xfId="1" applyNumberFormat="1" applyFont="1" applyFill="1" applyBorder="1" applyAlignment="1" applyProtection="1">
      <alignment horizontal="left" vertical="center"/>
      <protection locked="0"/>
    </xf>
    <xf numFmtId="166" fontId="5" fillId="7" borderId="13" xfId="1" applyNumberFormat="1" applyFont="1" applyFill="1" applyBorder="1" applyAlignment="1" applyProtection="1">
      <alignment horizontal="left" vertical="center"/>
    </xf>
    <xf numFmtId="0" fontId="14" fillId="3" borderId="0" xfId="0" applyFont="1" applyFill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0" borderId="1" xfId="0" applyFont="1" applyBorder="1" applyAlignment="1">
      <alignment horizontal="left" vertical="center" wrapText="1" indent="2"/>
    </xf>
    <xf numFmtId="0" fontId="16" fillId="0" borderId="1" xfId="0" applyFont="1" applyBorder="1" applyAlignment="1">
      <alignment horizontal="left" vertical="center" wrapText="1" indent="3"/>
    </xf>
    <xf numFmtId="0" fontId="16" fillId="0" borderId="18" xfId="0" applyFont="1" applyBorder="1" applyAlignment="1">
      <alignment horizontal="left" vertical="center" wrapText="1" indent="2"/>
    </xf>
    <xf numFmtId="0" fontId="15" fillId="10" borderId="2" xfId="0" applyFont="1" applyFill="1" applyBorder="1" applyAlignment="1">
      <alignment horizontal="left" vertical="center" wrapText="1" indent="1"/>
    </xf>
    <xf numFmtId="0" fontId="15" fillId="11" borderId="2" xfId="0" applyFont="1" applyFill="1" applyBorder="1" applyAlignment="1">
      <alignment horizontal="left" vertical="center" wrapText="1" indent="1"/>
    </xf>
    <xf numFmtId="0" fontId="15" fillId="12" borderId="2" xfId="0" applyFont="1" applyFill="1" applyBorder="1" applyAlignment="1">
      <alignment horizontal="left" vertical="center" wrapText="1" indent="1"/>
    </xf>
    <xf numFmtId="0" fontId="10" fillId="3" borderId="19" xfId="0" applyFont="1" applyFill="1" applyBorder="1" applyAlignment="1">
      <alignment horizontal="left" vertical="center" wrapText="1" indent="1" readingOrder="1"/>
    </xf>
    <xf numFmtId="0" fontId="10" fillId="3" borderId="1" xfId="0" applyFont="1" applyFill="1" applyBorder="1" applyAlignment="1">
      <alignment horizontal="left" vertical="center" wrapText="1" indent="1" readingOrder="1"/>
    </xf>
    <xf numFmtId="0" fontId="17" fillId="13" borderId="20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10" fillId="14" borderId="1" xfId="0" applyFont="1" applyFill="1" applyBorder="1" applyAlignment="1">
      <alignment horizontal="left" vertical="center" wrapText="1" indent="1" readingOrder="1"/>
    </xf>
    <xf numFmtId="0" fontId="10" fillId="15" borderId="1" xfId="0" applyFont="1" applyFill="1" applyBorder="1" applyAlignment="1">
      <alignment horizontal="left" vertical="center" wrapText="1" indent="1" readingOrder="1"/>
    </xf>
    <xf numFmtId="0" fontId="5" fillId="16" borderId="1" xfId="0" applyFont="1" applyFill="1" applyBorder="1" applyAlignment="1">
      <alignment horizontal="left" vertical="center" wrapText="1" indent="1"/>
    </xf>
    <xf numFmtId="0" fontId="15" fillId="9" borderId="21" xfId="0" applyFont="1" applyFill="1" applyBorder="1" applyAlignment="1">
      <alignment vertical="center"/>
    </xf>
    <xf numFmtId="167" fontId="15" fillId="9" borderId="2" xfId="0" applyNumberFormat="1" applyFont="1" applyFill="1" applyBorder="1" applyAlignment="1">
      <alignment horizontal="left" vertical="center" wrapText="1" indent="1"/>
    </xf>
    <xf numFmtId="167" fontId="15" fillId="9" borderId="22" xfId="0" applyNumberFormat="1" applyFont="1" applyFill="1" applyBorder="1" applyAlignment="1">
      <alignment horizontal="left" vertical="center" wrapText="1" indent="1"/>
    </xf>
    <xf numFmtId="167" fontId="15" fillId="10" borderId="2" xfId="0" applyNumberFormat="1" applyFont="1" applyFill="1" applyBorder="1" applyAlignment="1">
      <alignment horizontal="left" vertical="center" wrapText="1" indent="1"/>
    </xf>
    <xf numFmtId="167" fontId="15" fillId="11" borderId="2" xfId="0" applyNumberFormat="1" applyFont="1" applyFill="1" applyBorder="1" applyAlignment="1">
      <alignment horizontal="left" vertical="center" wrapText="1" indent="1"/>
    </xf>
    <xf numFmtId="167" fontId="15" fillId="12" borderId="2" xfId="0" applyNumberFormat="1" applyFont="1" applyFill="1" applyBorder="1" applyAlignment="1">
      <alignment horizontal="left" vertical="center" wrapText="1" indent="1"/>
    </xf>
    <xf numFmtId="167" fontId="5" fillId="0" borderId="1" xfId="0" applyNumberFormat="1" applyFont="1" applyBorder="1" applyAlignment="1" applyProtection="1">
      <alignment horizontal="left" vertical="center" wrapText="1" indent="1"/>
      <protection locked="0"/>
    </xf>
    <xf numFmtId="167" fontId="5" fillId="0" borderId="17" xfId="0" applyNumberFormat="1" applyFont="1" applyBorder="1" applyAlignment="1" applyProtection="1">
      <alignment horizontal="left" vertical="center" wrapText="1" indent="1"/>
      <protection locked="0"/>
    </xf>
    <xf numFmtId="167" fontId="15" fillId="9" borderId="0" xfId="0" applyNumberFormat="1" applyFont="1" applyFill="1" applyAlignment="1">
      <alignment horizontal="left" vertical="center" indent="1"/>
    </xf>
    <xf numFmtId="164" fontId="15" fillId="9" borderId="21" xfId="0" applyNumberFormat="1" applyFont="1" applyFill="1" applyBorder="1" applyAlignment="1">
      <alignment vertical="center"/>
    </xf>
    <xf numFmtId="168" fontId="15" fillId="9" borderId="21" xfId="0" applyNumberFormat="1" applyFont="1" applyFill="1" applyBorder="1" applyAlignment="1">
      <alignment vertical="center"/>
    </xf>
    <xf numFmtId="164" fontId="15" fillId="10" borderId="2" xfId="0" applyNumberFormat="1" applyFont="1" applyFill="1" applyBorder="1" applyAlignment="1">
      <alignment horizontal="left" vertical="center" wrapText="1" indent="1"/>
    </xf>
    <xf numFmtId="164" fontId="15" fillId="11" borderId="2" xfId="0" applyNumberFormat="1" applyFont="1" applyFill="1" applyBorder="1" applyAlignment="1">
      <alignment horizontal="left" vertical="center" wrapText="1" indent="1"/>
    </xf>
    <xf numFmtId="7" fontId="15" fillId="10" borderId="2" xfId="0" applyNumberFormat="1" applyFont="1" applyFill="1" applyBorder="1" applyAlignment="1">
      <alignment horizontal="left" vertical="center" wrapText="1" indent="1"/>
    </xf>
    <xf numFmtId="5" fontId="15" fillId="10" borderId="2" xfId="0" applyNumberFormat="1" applyFont="1" applyFill="1" applyBorder="1" applyAlignment="1">
      <alignment horizontal="left" vertical="center" wrapText="1" indent="1"/>
    </xf>
    <xf numFmtId="7" fontId="15" fillId="11" borderId="2" xfId="0" applyNumberFormat="1" applyFont="1" applyFill="1" applyBorder="1" applyAlignment="1">
      <alignment horizontal="left" vertical="center" wrapText="1" indent="1"/>
    </xf>
    <xf numFmtId="5" fontId="15" fillId="11" borderId="2" xfId="0" applyNumberFormat="1" applyFont="1" applyFill="1" applyBorder="1" applyAlignment="1">
      <alignment horizontal="left" vertical="center" wrapText="1" indent="1"/>
    </xf>
    <xf numFmtId="164" fontId="15" fillId="12" borderId="2" xfId="0" applyNumberFormat="1" applyFont="1" applyFill="1" applyBorder="1" applyAlignment="1">
      <alignment horizontal="left" vertical="center" wrapText="1" indent="1"/>
    </xf>
    <xf numFmtId="7" fontId="15" fillId="12" borderId="2" xfId="0" applyNumberFormat="1" applyFont="1" applyFill="1" applyBorder="1" applyAlignment="1">
      <alignment horizontal="left" vertical="center" wrapText="1" indent="1"/>
    </xf>
    <xf numFmtId="5" fontId="15" fillId="12" borderId="2" xfId="0" applyNumberFormat="1" applyFont="1" applyFill="1" applyBorder="1" applyAlignment="1">
      <alignment horizontal="left" vertical="center" wrapText="1" indent="1"/>
    </xf>
    <xf numFmtId="164" fontId="15" fillId="9" borderId="0" xfId="0" applyNumberFormat="1" applyFont="1" applyFill="1" applyAlignment="1">
      <alignment horizontal="left" vertical="center" indent="1"/>
    </xf>
    <xf numFmtId="7" fontId="15" fillId="9" borderId="0" xfId="0" applyNumberFormat="1" applyFont="1" applyFill="1" applyAlignment="1">
      <alignment horizontal="left" vertical="center" indent="1"/>
    </xf>
    <xf numFmtId="5" fontId="15" fillId="9" borderId="0" xfId="0" applyNumberFormat="1" applyFont="1" applyFill="1" applyAlignment="1">
      <alignment horizontal="left" vertical="center" indent="1"/>
    </xf>
    <xf numFmtId="5" fontId="18" fillId="5" borderId="1" xfId="0" applyNumberFormat="1" applyFont="1" applyFill="1" applyBorder="1" applyAlignment="1" applyProtection="1">
      <alignment vertical="center"/>
      <protection locked="0"/>
    </xf>
    <xf numFmtId="5" fontId="15" fillId="9" borderId="21" xfId="0" applyNumberFormat="1" applyFont="1" applyFill="1" applyBorder="1" applyAlignment="1">
      <alignment vertical="center"/>
    </xf>
    <xf numFmtId="7" fontId="4" fillId="0" borderId="1" xfId="1" applyNumberFormat="1" applyFont="1" applyBorder="1" applyAlignment="1" applyProtection="1">
      <alignment horizontal="right" vertical="center"/>
      <protection locked="0"/>
    </xf>
    <xf numFmtId="7" fontId="15" fillId="9" borderId="21" xfId="0" applyNumberFormat="1" applyFont="1" applyFill="1" applyBorder="1" applyAlignment="1">
      <alignment vertical="center"/>
    </xf>
    <xf numFmtId="5" fontId="15" fillId="10" borderId="2" xfId="0" applyNumberFormat="1" applyFont="1" applyFill="1" applyBorder="1" applyAlignment="1">
      <alignment vertical="center" wrapText="1" indent="1"/>
    </xf>
    <xf numFmtId="43" fontId="12" fillId="0" borderId="23" xfId="0" applyNumberFormat="1" applyFont="1" applyBorder="1" applyAlignment="1" applyProtection="1">
      <alignment horizontal="left" vertical="top" wrapText="1"/>
      <protection locked="0"/>
    </xf>
    <xf numFmtId="7" fontId="20" fillId="3" borderId="23" xfId="1" applyNumberFormat="1" applyFont="1" applyFill="1" applyBorder="1" applyAlignment="1" applyProtection="1">
      <alignment wrapText="1"/>
      <protection locked="0"/>
    </xf>
    <xf numFmtId="0" fontId="19" fillId="3" borderId="23" xfId="0" applyFont="1" applyFill="1" applyBorder="1" applyAlignment="1">
      <alignment wrapText="1"/>
    </xf>
    <xf numFmtId="168" fontId="21" fillId="3" borderId="23" xfId="0" applyNumberFormat="1" applyFont="1" applyFill="1" applyBorder="1" applyAlignment="1">
      <alignment wrapText="1"/>
    </xf>
    <xf numFmtId="166" fontId="21" fillId="3" borderId="23" xfId="0" applyNumberFormat="1" applyFont="1" applyFill="1" applyBorder="1" applyAlignment="1">
      <alignment wrapText="1"/>
    </xf>
    <xf numFmtId="0" fontId="16" fillId="0" borderId="19" xfId="0" applyFont="1" applyBorder="1" applyAlignment="1">
      <alignment horizontal="left" vertical="center" wrapText="1" indent="2"/>
    </xf>
    <xf numFmtId="0" fontId="16" fillId="0" borderId="19" xfId="0" applyFont="1" applyBorder="1" applyAlignment="1">
      <alignment horizontal="left" vertical="center" wrapText="1" indent="3"/>
    </xf>
    <xf numFmtId="0" fontId="16" fillId="0" borderId="24" xfId="0" applyFont="1" applyBorder="1" applyAlignment="1">
      <alignment horizontal="left" vertical="center" wrapText="1" indent="2"/>
    </xf>
    <xf numFmtId="0" fontId="11" fillId="8" borderId="6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</cellXfs>
  <cellStyles count="8">
    <cellStyle name="Currency" xfId="1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3" builtinId="9" hidden="1"/>
    <cellStyle name="Followed Hyperlink" xfId="6" builtinId="9" hidden="1"/>
    <cellStyle name="Normal" xfId="0" builtinId="0"/>
    <cellStyle name="Normal 2" xfId="7" xr:uid="{096755C3-0BB5-E94E-8E6C-945830891248}"/>
  </cellStyles>
  <dxfs count="202"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19/04/relationships/externalLinkLongPath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A5BD-21E8-4C38-9255-94DBC9665898}">
  <sheetPr>
    <tabColor theme="3" tint="0.59999389629810485"/>
    <pageSetUpPr fitToPage="1"/>
  </sheetPr>
  <dimension ref="A1:AP447"/>
  <sheetViews>
    <sheetView showGridLines="0" tabSelected="1" zoomScale="70" zoomScaleNormal="70" workbookViewId="0">
      <pane ySplit="3" topLeftCell="M55" activePane="bottomLeft" state="frozen"/>
      <selection pane="bottomLeft" activeCell="I39" sqref="I39"/>
    </sheetView>
  </sheetViews>
  <sheetFormatPr defaultColWidth="11" defaultRowHeight="13.5"/>
  <cols>
    <col min="1" max="1" width="3.125" style="4" customWidth="1"/>
    <col min="2" max="2" width="46" style="4" customWidth="1"/>
    <col min="3" max="4" width="20.875" style="4" customWidth="1"/>
    <col min="5" max="5" width="12.875" style="4" customWidth="1"/>
    <col min="6" max="6" width="14" style="4" customWidth="1"/>
    <col min="7" max="8" width="11.625" style="4" customWidth="1"/>
    <col min="9" max="9" width="13" style="4" customWidth="1"/>
    <col min="10" max="10" width="15.75" style="4" customWidth="1"/>
    <col min="11" max="11" width="16.875" style="4" customWidth="1"/>
    <col min="12" max="12" width="13" style="4" customWidth="1"/>
    <col min="13" max="13" width="16.5" style="4" customWidth="1"/>
    <col min="14" max="14" width="20.625" style="4" customWidth="1"/>
    <col min="15" max="15" width="11.875" style="4" customWidth="1"/>
    <col min="16" max="16" width="14.625" style="4" customWidth="1"/>
    <col min="17" max="17" width="17.75" style="4" customWidth="1"/>
    <col min="18" max="18" width="19.75" style="4" customWidth="1"/>
    <col min="19" max="19" width="22.5" style="4" customWidth="1"/>
    <col min="20" max="20" width="19.125" style="4" customWidth="1"/>
    <col min="21" max="21" width="3.125" style="4" customWidth="1"/>
    <col min="22" max="16384" width="11" style="4"/>
  </cols>
  <sheetData>
    <row r="1" spans="1:42" ht="45" customHeight="1">
      <c r="A1" s="3"/>
      <c r="B1" s="19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6"/>
      <c r="Q1" s="6"/>
      <c r="R1" s="6"/>
      <c r="S1" s="6"/>
      <c r="T1" s="6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8" customFormat="1" ht="70.5" customHeight="1">
      <c r="A2" s="7"/>
      <c r="B2" s="24" t="s">
        <v>1</v>
      </c>
      <c r="C2" s="50" t="s">
        <v>2</v>
      </c>
      <c r="D2" s="50"/>
      <c r="E2" s="24"/>
      <c r="F2" s="24"/>
      <c r="G2" s="24"/>
      <c r="H2" s="35"/>
      <c r="I2" s="101" t="s">
        <v>3</v>
      </c>
      <c r="J2" s="102"/>
      <c r="K2" s="102"/>
      <c r="L2" s="102" t="s">
        <v>4</v>
      </c>
      <c r="M2" s="102"/>
      <c r="N2" s="102"/>
      <c r="O2" s="103" t="s">
        <v>5</v>
      </c>
      <c r="P2" s="104"/>
      <c r="Q2" s="105"/>
      <c r="R2" s="106" t="s">
        <v>6</v>
      </c>
      <c r="S2" s="104"/>
      <c r="T2" s="10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s="8" customFormat="1" ht="35.1" customHeight="1">
      <c r="A3" s="7"/>
      <c r="B3" s="20" t="s">
        <v>7</v>
      </c>
      <c r="C3" s="20" t="s">
        <v>8</v>
      </c>
      <c r="D3" s="20"/>
      <c r="E3" s="20" t="s">
        <v>9</v>
      </c>
      <c r="F3" s="14" t="s">
        <v>10</v>
      </c>
      <c r="G3" s="14" t="s">
        <v>11</v>
      </c>
      <c r="H3" s="36" t="s">
        <v>12</v>
      </c>
      <c r="I3" s="29" t="s">
        <v>13</v>
      </c>
      <c r="J3" s="15" t="s">
        <v>14</v>
      </c>
      <c r="K3" s="15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28" t="s">
        <v>21</v>
      </c>
      <c r="R3" s="34" t="s">
        <v>22</v>
      </c>
      <c r="S3" s="33" t="s">
        <v>23</v>
      </c>
      <c r="T3" s="31" t="s">
        <v>24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s="8" customFormat="1" ht="30" customHeight="1">
      <c r="A4" s="7"/>
      <c r="B4" s="21" t="s">
        <v>25</v>
      </c>
      <c r="C4" s="21"/>
      <c r="D4" s="21"/>
      <c r="E4" s="21"/>
      <c r="F4" s="38"/>
      <c r="G4" s="38"/>
      <c r="H4" s="39"/>
      <c r="I4" s="40"/>
      <c r="J4" s="41"/>
      <c r="K4" s="41"/>
      <c r="L4" s="41"/>
      <c r="M4" s="41"/>
      <c r="N4" s="41"/>
      <c r="O4" s="41"/>
      <c r="P4" s="41"/>
      <c r="Q4" s="42"/>
      <c r="R4" s="43"/>
      <c r="S4" s="44"/>
      <c r="T4" s="44"/>
      <c r="U4" s="7"/>
      <c r="V4" s="7"/>
      <c r="W4" s="60" t="s">
        <v>26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s="8" customFormat="1" ht="30" customHeight="1">
      <c r="A5" s="7"/>
      <c r="B5" s="65" t="s">
        <v>27</v>
      </c>
      <c r="C5" s="65"/>
      <c r="D5" s="65"/>
      <c r="E5" s="65"/>
      <c r="F5" s="66">
        <v>46060</v>
      </c>
      <c r="G5" s="66">
        <v>46060</v>
      </c>
      <c r="H5" s="67">
        <v>46081</v>
      </c>
      <c r="I5" s="74">
        <f t="shared" ref="I5:N5" si="0">SUM(I6:I16)</f>
        <v>14</v>
      </c>
      <c r="J5" s="91">
        <f t="shared" si="0"/>
        <v>110000</v>
      </c>
      <c r="K5" s="75">
        <f t="shared" si="0"/>
        <v>140000</v>
      </c>
      <c r="L5" s="74">
        <f t="shared" si="0"/>
        <v>11</v>
      </c>
      <c r="M5" s="91">
        <f t="shared" si="0"/>
        <v>5500</v>
      </c>
      <c r="N5" s="89">
        <f t="shared" si="0"/>
        <v>5500</v>
      </c>
      <c r="O5" s="89">
        <f>SUM(O6:O16)</f>
        <v>20000</v>
      </c>
      <c r="P5" s="89">
        <f>SUM(P6:P16)</f>
        <v>8000</v>
      </c>
      <c r="Q5" s="89">
        <f>SUM(Q6:Q16)</f>
        <v>11000</v>
      </c>
      <c r="R5" s="89">
        <f>SUM(R6:R16)</f>
        <v>200000</v>
      </c>
      <c r="S5" s="65"/>
      <c r="T5" s="65"/>
      <c r="U5" s="7"/>
      <c r="V5" s="7"/>
      <c r="W5" s="61" t="s">
        <v>28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s="8" customFormat="1" ht="30" customHeight="1">
      <c r="A6" s="7"/>
      <c r="B6" s="52" t="s">
        <v>29</v>
      </c>
      <c r="C6" s="52" t="s">
        <v>29</v>
      </c>
      <c r="D6" s="98"/>
      <c r="E6" s="58" t="s">
        <v>30</v>
      </c>
      <c r="F6" s="71">
        <v>46060</v>
      </c>
      <c r="G6" s="71">
        <v>46060</v>
      </c>
      <c r="H6" s="72">
        <v>46062</v>
      </c>
      <c r="I6" s="45">
        <v>1</v>
      </c>
      <c r="J6" s="26">
        <v>10000</v>
      </c>
      <c r="K6" s="46">
        <f>I6*J6</f>
        <v>10000</v>
      </c>
      <c r="L6" s="25">
        <v>1</v>
      </c>
      <c r="M6" s="90">
        <v>500</v>
      </c>
      <c r="N6" s="46">
        <f t="shared" ref="N6:N16" si="1">L6*M6</f>
        <v>500</v>
      </c>
      <c r="O6" s="27">
        <v>0</v>
      </c>
      <c r="P6" s="27">
        <v>0</v>
      </c>
      <c r="Q6" s="47">
        <v>1000</v>
      </c>
      <c r="R6" s="26">
        <v>15000</v>
      </c>
      <c r="S6" s="48">
        <f t="shared" ref="S6:S56" si="2">K6+N6+O6+P6+Q6</f>
        <v>11500</v>
      </c>
      <c r="T6" s="49">
        <f t="shared" ref="T6:T56" si="3">S6-R6</f>
        <v>-3500</v>
      </c>
      <c r="U6" s="7"/>
      <c r="V6" s="7"/>
      <c r="W6" s="62" t="s">
        <v>31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s="8" customFormat="1" ht="30" customHeight="1">
      <c r="A7" s="7"/>
      <c r="B7" s="53" t="s">
        <v>32</v>
      </c>
      <c r="C7" s="53" t="s">
        <v>32</v>
      </c>
      <c r="D7" s="99"/>
      <c r="E7" s="58" t="s">
        <v>30</v>
      </c>
      <c r="F7" s="71">
        <v>46062</v>
      </c>
      <c r="G7" s="71">
        <v>46062</v>
      </c>
      <c r="H7" s="72">
        <v>46064</v>
      </c>
      <c r="I7" s="45">
        <v>1</v>
      </c>
      <c r="J7" s="26">
        <v>10000</v>
      </c>
      <c r="K7" s="46">
        <f t="shared" ref="K7:K56" si="4">I7*J7</f>
        <v>10000</v>
      </c>
      <c r="L7" s="25">
        <v>1</v>
      </c>
      <c r="M7" s="90">
        <v>500</v>
      </c>
      <c r="N7" s="46">
        <f t="shared" si="1"/>
        <v>500</v>
      </c>
      <c r="O7" s="27">
        <v>0</v>
      </c>
      <c r="P7" s="27">
        <v>0</v>
      </c>
      <c r="Q7" s="47">
        <v>1000</v>
      </c>
      <c r="R7" s="26">
        <v>15000</v>
      </c>
      <c r="S7" s="48">
        <f t="shared" si="2"/>
        <v>11500</v>
      </c>
      <c r="T7" s="49">
        <f t="shared" si="3"/>
        <v>-3500</v>
      </c>
      <c r="U7" s="7"/>
      <c r="V7" s="7"/>
      <c r="W7" s="63" t="s">
        <v>30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s="8" customFormat="1" ht="30" customHeight="1">
      <c r="A8" s="7"/>
      <c r="B8" s="52" t="s">
        <v>33</v>
      </c>
      <c r="C8" s="52" t="s">
        <v>33</v>
      </c>
      <c r="D8" s="98"/>
      <c r="E8" s="58" t="s">
        <v>30</v>
      </c>
      <c r="F8" s="71">
        <v>46064</v>
      </c>
      <c r="G8" s="71">
        <v>46064</v>
      </c>
      <c r="H8" s="72">
        <v>46065</v>
      </c>
      <c r="I8" s="45">
        <v>1</v>
      </c>
      <c r="J8" s="26">
        <v>10000</v>
      </c>
      <c r="K8" s="46">
        <f t="shared" si="4"/>
        <v>10000</v>
      </c>
      <c r="L8" s="25">
        <v>1</v>
      </c>
      <c r="M8" s="90">
        <v>500</v>
      </c>
      <c r="N8" s="46">
        <f t="shared" si="1"/>
        <v>500</v>
      </c>
      <c r="O8" s="27">
        <v>0</v>
      </c>
      <c r="P8" s="27">
        <v>1000</v>
      </c>
      <c r="Q8" s="47">
        <v>1000</v>
      </c>
      <c r="R8" s="26">
        <v>15000</v>
      </c>
      <c r="S8" s="48">
        <f t="shared" si="2"/>
        <v>12500</v>
      </c>
      <c r="T8" s="49">
        <f t="shared" si="3"/>
        <v>-2500</v>
      </c>
      <c r="U8" s="7"/>
      <c r="V8" s="7"/>
      <c r="W8" s="64" t="s">
        <v>34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s="8" customFormat="1" ht="30" customHeight="1">
      <c r="A9" s="7"/>
      <c r="B9" s="52" t="s">
        <v>35</v>
      </c>
      <c r="C9" s="52" t="s">
        <v>35</v>
      </c>
      <c r="D9" s="98"/>
      <c r="E9" s="58" t="s">
        <v>30</v>
      </c>
      <c r="F9" s="71">
        <v>46065</v>
      </c>
      <c r="G9" s="71">
        <v>46065</v>
      </c>
      <c r="H9" s="72">
        <v>46066</v>
      </c>
      <c r="I9" s="45">
        <v>1</v>
      </c>
      <c r="J9" s="26">
        <v>10000</v>
      </c>
      <c r="K9" s="46">
        <f t="shared" si="4"/>
        <v>10000</v>
      </c>
      <c r="L9" s="25">
        <v>1</v>
      </c>
      <c r="M9" s="90">
        <v>500</v>
      </c>
      <c r="N9" s="46">
        <f t="shared" si="1"/>
        <v>500</v>
      </c>
      <c r="O9" s="27">
        <v>0</v>
      </c>
      <c r="P9" s="27">
        <v>1000</v>
      </c>
      <c r="Q9" s="47">
        <v>1000</v>
      </c>
      <c r="R9" s="26">
        <v>15000</v>
      </c>
      <c r="S9" s="48">
        <f t="shared" si="2"/>
        <v>12500</v>
      </c>
      <c r="T9" s="49">
        <f t="shared" si="3"/>
        <v>-2500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s="8" customFormat="1" ht="30" customHeight="1">
      <c r="A10" s="7"/>
      <c r="B10" s="52" t="s">
        <v>36</v>
      </c>
      <c r="C10" s="52" t="s">
        <v>36</v>
      </c>
      <c r="D10" s="98"/>
      <c r="E10" s="58" t="s">
        <v>30</v>
      </c>
      <c r="F10" s="71">
        <v>46066</v>
      </c>
      <c r="G10" s="71">
        <v>46066</v>
      </c>
      <c r="H10" s="72">
        <v>46067</v>
      </c>
      <c r="I10" s="45">
        <v>1</v>
      </c>
      <c r="J10" s="26">
        <v>10000</v>
      </c>
      <c r="K10" s="46">
        <f t="shared" si="4"/>
        <v>10000</v>
      </c>
      <c r="L10" s="25">
        <v>1</v>
      </c>
      <c r="M10" s="90">
        <v>500</v>
      </c>
      <c r="N10" s="46">
        <f t="shared" si="1"/>
        <v>500</v>
      </c>
      <c r="O10" s="27">
        <v>0</v>
      </c>
      <c r="P10" s="27">
        <v>1000</v>
      </c>
      <c r="Q10" s="47">
        <v>1000</v>
      </c>
      <c r="R10" s="26">
        <v>15000</v>
      </c>
      <c r="S10" s="48">
        <f t="shared" si="2"/>
        <v>12500</v>
      </c>
      <c r="T10" s="49">
        <f t="shared" si="3"/>
        <v>-2500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s="8" customFormat="1" ht="30" customHeight="1">
      <c r="A11" s="7"/>
      <c r="B11" s="52" t="s">
        <v>37</v>
      </c>
      <c r="C11" s="52" t="s">
        <v>37</v>
      </c>
      <c r="D11" s="98"/>
      <c r="E11" s="58" t="s">
        <v>30</v>
      </c>
      <c r="F11" s="71">
        <v>46067</v>
      </c>
      <c r="G11" s="71">
        <v>46067</v>
      </c>
      <c r="H11" s="72">
        <v>46071</v>
      </c>
      <c r="I11" s="45">
        <v>1</v>
      </c>
      <c r="J11" s="26">
        <v>10000</v>
      </c>
      <c r="K11" s="46">
        <f t="shared" si="4"/>
        <v>10000</v>
      </c>
      <c r="L11" s="25">
        <v>1</v>
      </c>
      <c r="M11" s="90">
        <v>500</v>
      </c>
      <c r="N11" s="46">
        <f t="shared" si="1"/>
        <v>500</v>
      </c>
      <c r="O11" s="27">
        <v>0</v>
      </c>
      <c r="P11" s="27">
        <v>1000</v>
      </c>
      <c r="Q11" s="47">
        <v>1000</v>
      </c>
      <c r="R11" s="26">
        <v>15000</v>
      </c>
      <c r="S11" s="48">
        <f t="shared" si="2"/>
        <v>12500</v>
      </c>
      <c r="T11" s="49">
        <f t="shared" si="3"/>
        <v>-2500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s="8" customFormat="1" ht="30" customHeight="1">
      <c r="A12" s="7"/>
      <c r="B12" s="54" t="s">
        <v>38</v>
      </c>
      <c r="C12" s="54" t="s">
        <v>38</v>
      </c>
      <c r="D12" s="100"/>
      <c r="E12" s="58" t="s">
        <v>30</v>
      </c>
      <c r="F12" s="71">
        <v>46071</v>
      </c>
      <c r="G12" s="71">
        <v>46071</v>
      </c>
      <c r="H12" s="72">
        <v>46074</v>
      </c>
      <c r="I12" s="45">
        <v>1</v>
      </c>
      <c r="J12" s="26">
        <v>10000</v>
      </c>
      <c r="K12" s="46">
        <f t="shared" si="4"/>
        <v>10000</v>
      </c>
      <c r="L12" s="25">
        <v>1</v>
      </c>
      <c r="M12" s="90">
        <v>500</v>
      </c>
      <c r="N12" s="46">
        <f t="shared" si="1"/>
        <v>500</v>
      </c>
      <c r="O12" s="27">
        <v>0</v>
      </c>
      <c r="P12" s="27">
        <v>1000</v>
      </c>
      <c r="Q12" s="47">
        <v>1000</v>
      </c>
      <c r="R12" s="26">
        <v>15000</v>
      </c>
      <c r="S12" s="48">
        <f t="shared" si="2"/>
        <v>12500</v>
      </c>
      <c r="T12" s="49">
        <f t="shared" si="3"/>
        <v>-2500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s="8" customFormat="1" ht="30" customHeight="1">
      <c r="A13" s="7"/>
      <c r="B13" s="52" t="s">
        <v>39</v>
      </c>
      <c r="C13" s="52" t="s">
        <v>39</v>
      </c>
      <c r="D13" s="98"/>
      <c r="E13" s="58" t="s">
        <v>30</v>
      </c>
      <c r="F13" s="71">
        <v>46074</v>
      </c>
      <c r="G13" s="71">
        <v>46074</v>
      </c>
      <c r="H13" s="72">
        <v>46076</v>
      </c>
      <c r="I13" s="45">
        <v>1</v>
      </c>
      <c r="J13" s="26">
        <v>10000</v>
      </c>
      <c r="K13" s="46">
        <f t="shared" si="4"/>
        <v>10000</v>
      </c>
      <c r="L13" s="25">
        <v>1</v>
      </c>
      <c r="M13" s="90">
        <v>500</v>
      </c>
      <c r="N13" s="46">
        <f t="shared" si="1"/>
        <v>500</v>
      </c>
      <c r="O13" s="27">
        <v>20000</v>
      </c>
      <c r="P13" s="27">
        <v>0</v>
      </c>
      <c r="Q13" s="47">
        <v>1000</v>
      </c>
      <c r="R13" s="26">
        <v>35000</v>
      </c>
      <c r="S13" s="48">
        <f t="shared" si="2"/>
        <v>31500</v>
      </c>
      <c r="T13" s="49">
        <f t="shared" si="3"/>
        <v>-3500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s="8" customFormat="1" ht="30" customHeight="1">
      <c r="A14" s="7"/>
      <c r="B14" s="52" t="s">
        <v>40</v>
      </c>
      <c r="C14" s="52" t="s">
        <v>40</v>
      </c>
      <c r="D14" s="98"/>
      <c r="E14" s="58" t="s">
        <v>30</v>
      </c>
      <c r="F14" s="71">
        <v>46076</v>
      </c>
      <c r="G14" s="71">
        <v>46076</v>
      </c>
      <c r="H14" s="72">
        <v>46078</v>
      </c>
      <c r="I14" s="45">
        <v>2</v>
      </c>
      <c r="J14" s="26">
        <v>10000</v>
      </c>
      <c r="K14" s="46">
        <f t="shared" si="4"/>
        <v>20000</v>
      </c>
      <c r="L14" s="25">
        <v>1</v>
      </c>
      <c r="M14" s="90">
        <v>500</v>
      </c>
      <c r="N14" s="46">
        <f t="shared" si="1"/>
        <v>500</v>
      </c>
      <c r="O14" s="27">
        <v>0</v>
      </c>
      <c r="P14" s="27">
        <v>1000</v>
      </c>
      <c r="Q14" s="47">
        <v>1000</v>
      </c>
      <c r="R14" s="26">
        <v>25000</v>
      </c>
      <c r="S14" s="48">
        <f t="shared" si="2"/>
        <v>22500</v>
      </c>
      <c r="T14" s="49">
        <f t="shared" si="3"/>
        <v>-2500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s="8" customFormat="1" ht="30" customHeight="1">
      <c r="A15" s="7"/>
      <c r="B15" s="52" t="s">
        <v>41</v>
      </c>
      <c r="C15" s="52" t="s">
        <v>41</v>
      </c>
      <c r="D15" s="98"/>
      <c r="E15" s="58" t="s">
        <v>30</v>
      </c>
      <c r="F15" s="71">
        <v>46078</v>
      </c>
      <c r="G15" s="71">
        <v>46078</v>
      </c>
      <c r="H15" s="72">
        <v>46079</v>
      </c>
      <c r="I15" s="45">
        <v>1</v>
      </c>
      <c r="J15" s="26">
        <v>10000</v>
      </c>
      <c r="K15" s="46">
        <f t="shared" si="4"/>
        <v>10000</v>
      </c>
      <c r="L15" s="25">
        <v>1</v>
      </c>
      <c r="M15" s="90">
        <v>500</v>
      </c>
      <c r="N15" s="46">
        <f t="shared" si="1"/>
        <v>500</v>
      </c>
      <c r="O15" s="27">
        <v>0</v>
      </c>
      <c r="P15" s="27">
        <v>1000</v>
      </c>
      <c r="Q15" s="47">
        <v>1000</v>
      </c>
      <c r="R15" s="26">
        <v>15000</v>
      </c>
      <c r="S15" s="48">
        <f t="shared" si="2"/>
        <v>12500</v>
      </c>
      <c r="T15" s="49">
        <f t="shared" si="3"/>
        <v>-2500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s="8" customFormat="1" ht="30" customHeight="1">
      <c r="A16" s="7"/>
      <c r="B16" s="52" t="s">
        <v>42</v>
      </c>
      <c r="C16" s="52" t="s">
        <v>42</v>
      </c>
      <c r="D16" s="98"/>
      <c r="E16" s="58" t="s">
        <v>30</v>
      </c>
      <c r="F16" s="71">
        <v>46079</v>
      </c>
      <c r="G16" s="71">
        <v>46079</v>
      </c>
      <c r="H16" s="72">
        <v>46081</v>
      </c>
      <c r="I16" s="45">
        <v>3</v>
      </c>
      <c r="J16" s="26">
        <v>10000</v>
      </c>
      <c r="K16" s="46">
        <f t="shared" si="4"/>
        <v>30000</v>
      </c>
      <c r="L16" s="25">
        <v>1</v>
      </c>
      <c r="M16" s="90">
        <v>500</v>
      </c>
      <c r="N16" s="46">
        <f t="shared" si="1"/>
        <v>500</v>
      </c>
      <c r="O16" s="27">
        <v>0</v>
      </c>
      <c r="P16" s="27">
        <v>1000</v>
      </c>
      <c r="Q16" s="47">
        <v>1000</v>
      </c>
      <c r="R16" s="26">
        <v>20000</v>
      </c>
      <c r="S16" s="48">
        <f t="shared" si="2"/>
        <v>32500</v>
      </c>
      <c r="T16" s="49">
        <f t="shared" si="3"/>
        <v>12500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s="8" customFormat="1" ht="30" customHeight="1">
      <c r="A17" s="7"/>
      <c r="B17" s="55" t="s">
        <v>43</v>
      </c>
      <c r="C17" s="55"/>
      <c r="D17" s="55"/>
      <c r="E17" s="55"/>
      <c r="F17" s="68">
        <v>46084</v>
      </c>
      <c r="G17" s="68">
        <v>46084</v>
      </c>
      <c r="H17" s="68">
        <v>46094</v>
      </c>
      <c r="I17" s="76">
        <f t="shared" ref="I17:N17" si="5">SUM(I18:I23)</f>
        <v>22</v>
      </c>
      <c r="J17" s="78">
        <f t="shared" si="5"/>
        <v>60000</v>
      </c>
      <c r="K17" s="79">
        <f t="shared" si="5"/>
        <v>220000</v>
      </c>
      <c r="L17" s="76">
        <f t="shared" si="5"/>
        <v>6</v>
      </c>
      <c r="M17" s="78">
        <f t="shared" si="5"/>
        <v>3000</v>
      </c>
      <c r="N17" s="78">
        <f t="shared" si="5"/>
        <v>3000</v>
      </c>
      <c r="O17" s="92">
        <f>SUM(O18:O23)</f>
        <v>0</v>
      </c>
      <c r="P17" s="92">
        <f>SUM(P18:P23)</f>
        <v>6000</v>
      </c>
      <c r="Q17" s="92">
        <f>SUM(Q18:Q23)</f>
        <v>6000</v>
      </c>
      <c r="R17" s="92">
        <f>SUM(R18:R23)</f>
        <v>160000</v>
      </c>
      <c r="S17" s="48">
        <f t="shared" si="2"/>
        <v>235000</v>
      </c>
      <c r="T17" s="49">
        <f t="shared" si="3"/>
        <v>75000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s="8" customFormat="1" ht="30" customHeight="1">
      <c r="A18" s="7"/>
      <c r="B18" s="54" t="s">
        <v>44</v>
      </c>
      <c r="C18" s="54" t="s">
        <v>44</v>
      </c>
      <c r="D18" s="100"/>
      <c r="E18" s="58" t="s">
        <v>30</v>
      </c>
      <c r="F18" s="71">
        <v>46084</v>
      </c>
      <c r="G18" s="71">
        <v>46084</v>
      </c>
      <c r="H18" s="72">
        <v>46085</v>
      </c>
      <c r="I18" s="45">
        <v>2</v>
      </c>
      <c r="J18" s="26">
        <v>10000</v>
      </c>
      <c r="K18" s="46">
        <f t="shared" si="4"/>
        <v>20000</v>
      </c>
      <c r="L18" s="45">
        <v>1</v>
      </c>
      <c r="M18" s="90">
        <v>500</v>
      </c>
      <c r="N18" s="46">
        <f t="shared" ref="N18:N23" si="6">L18*M18</f>
        <v>500</v>
      </c>
      <c r="O18" s="27">
        <v>0</v>
      </c>
      <c r="P18" s="27">
        <v>1000</v>
      </c>
      <c r="Q18" s="47">
        <v>1000</v>
      </c>
      <c r="R18" s="26">
        <v>15000</v>
      </c>
      <c r="S18" s="48">
        <f t="shared" si="2"/>
        <v>22500</v>
      </c>
      <c r="T18" s="49">
        <f t="shared" si="3"/>
        <v>7500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s="8" customFormat="1" ht="30" customHeight="1">
      <c r="A19" s="7"/>
      <c r="B19" s="54" t="s">
        <v>45</v>
      </c>
      <c r="C19" s="54" t="s">
        <v>45</v>
      </c>
      <c r="D19" s="100"/>
      <c r="E19" s="58" t="s">
        <v>30</v>
      </c>
      <c r="F19" s="71">
        <v>46085</v>
      </c>
      <c r="G19" s="71">
        <v>46085</v>
      </c>
      <c r="H19" s="72">
        <v>46087</v>
      </c>
      <c r="I19" s="45">
        <v>5</v>
      </c>
      <c r="J19" s="26">
        <v>10000</v>
      </c>
      <c r="K19" s="46">
        <f t="shared" si="4"/>
        <v>50000</v>
      </c>
      <c r="L19" s="45">
        <v>1</v>
      </c>
      <c r="M19" s="90">
        <v>500</v>
      </c>
      <c r="N19" s="46">
        <f t="shared" si="6"/>
        <v>500</v>
      </c>
      <c r="O19" s="27">
        <v>0</v>
      </c>
      <c r="P19" s="27">
        <v>1000</v>
      </c>
      <c r="Q19" s="47">
        <v>1000</v>
      </c>
      <c r="R19" s="47">
        <v>50000</v>
      </c>
      <c r="S19" s="48">
        <f t="shared" si="2"/>
        <v>52500</v>
      </c>
      <c r="T19" s="49">
        <f t="shared" si="3"/>
        <v>2500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s="8" customFormat="1" ht="30" customHeight="1">
      <c r="A20" s="7"/>
      <c r="B20" s="54" t="s">
        <v>46</v>
      </c>
      <c r="C20" s="54" t="s">
        <v>46</v>
      </c>
      <c r="D20" s="100"/>
      <c r="E20" s="58" t="s">
        <v>30</v>
      </c>
      <c r="F20" s="71">
        <v>46087</v>
      </c>
      <c r="G20" s="71">
        <v>46087</v>
      </c>
      <c r="H20" s="72">
        <v>46088</v>
      </c>
      <c r="I20" s="45">
        <v>2</v>
      </c>
      <c r="J20" s="26">
        <v>10000</v>
      </c>
      <c r="K20" s="46">
        <f t="shared" si="4"/>
        <v>20000</v>
      </c>
      <c r="L20" s="45">
        <v>1</v>
      </c>
      <c r="M20" s="90">
        <v>500</v>
      </c>
      <c r="N20" s="46">
        <f t="shared" si="6"/>
        <v>500</v>
      </c>
      <c r="O20" s="27">
        <v>0</v>
      </c>
      <c r="P20" s="27">
        <v>1000</v>
      </c>
      <c r="Q20" s="47">
        <v>1000</v>
      </c>
      <c r="R20" s="26">
        <v>15000</v>
      </c>
      <c r="S20" s="48">
        <f t="shared" si="2"/>
        <v>22500</v>
      </c>
      <c r="T20" s="49">
        <f t="shared" si="3"/>
        <v>7500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s="8" customFormat="1" ht="30" customHeight="1">
      <c r="A21" s="7"/>
      <c r="B21" s="54" t="s">
        <v>47</v>
      </c>
      <c r="C21" s="54" t="s">
        <v>47</v>
      </c>
      <c r="D21" s="100"/>
      <c r="E21" s="58" t="s">
        <v>30</v>
      </c>
      <c r="F21" s="71">
        <v>46088</v>
      </c>
      <c r="G21" s="71">
        <v>46088</v>
      </c>
      <c r="H21" s="72">
        <v>46090</v>
      </c>
      <c r="I21" s="45">
        <v>5</v>
      </c>
      <c r="J21" s="26">
        <v>10000</v>
      </c>
      <c r="K21" s="46">
        <f t="shared" si="4"/>
        <v>50000</v>
      </c>
      <c r="L21" s="45">
        <v>1</v>
      </c>
      <c r="M21" s="90">
        <v>500</v>
      </c>
      <c r="N21" s="46">
        <f t="shared" si="6"/>
        <v>500</v>
      </c>
      <c r="O21" s="27">
        <v>0</v>
      </c>
      <c r="P21" s="27">
        <v>1000</v>
      </c>
      <c r="Q21" s="47">
        <v>1000</v>
      </c>
      <c r="R21" s="47">
        <v>50000</v>
      </c>
      <c r="S21" s="48">
        <f t="shared" si="2"/>
        <v>52500</v>
      </c>
      <c r="T21" s="49">
        <f t="shared" si="3"/>
        <v>2500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s="8" customFormat="1" ht="30" customHeight="1">
      <c r="A22" s="7"/>
      <c r="B22" s="54" t="s">
        <v>48</v>
      </c>
      <c r="C22" s="54" t="s">
        <v>48</v>
      </c>
      <c r="D22" s="100"/>
      <c r="E22" s="58" t="s">
        <v>30</v>
      </c>
      <c r="F22" s="71">
        <v>46090</v>
      </c>
      <c r="G22" s="71">
        <v>46090</v>
      </c>
      <c r="H22" s="72">
        <v>46092</v>
      </c>
      <c r="I22" s="45">
        <v>4</v>
      </c>
      <c r="J22" s="26">
        <v>10000</v>
      </c>
      <c r="K22" s="46">
        <f t="shared" si="4"/>
        <v>40000</v>
      </c>
      <c r="L22" s="45">
        <v>1</v>
      </c>
      <c r="M22" s="90">
        <v>500</v>
      </c>
      <c r="N22" s="46">
        <f t="shared" si="6"/>
        <v>500</v>
      </c>
      <c r="O22" s="27">
        <v>0</v>
      </c>
      <c r="P22" s="27">
        <v>1000</v>
      </c>
      <c r="Q22" s="47">
        <v>1000</v>
      </c>
      <c r="R22" s="26">
        <v>15000</v>
      </c>
      <c r="S22" s="48">
        <f t="shared" si="2"/>
        <v>42500</v>
      </c>
      <c r="T22" s="49">
        <f t="shared" si="3"/>
        <v>27500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s="8" customFormat="1" ht="30" customHeight="1">
      <c r="A23" s="7"/>
      <c r="B23" s="54" t="s">
        <v>49</v>
      </c>
      <c r="C23" s="54" t="s">
        <v>49</v>
      </c>
      <c r="D23" s="100"/>
      <c r="E23" s="58" t="s">
        <v>30</v>
      </c>
      <c r="F23" s="71">
        <v>46092</v>
      </c>
      <c r="G23" s="71">
        <v>46092</v>
      </c>
      <c r="H23" s="72">
        <v>46094</v>
      </c>
      <c r="I23" s="45">
        <v>4</v>
      </c>
      <c r="J23" s="26">
        <v>10000</v>
      </c>
      <c r="K23" s="46">
        <f t="shared" si="4"/>
        <v>40000</v>
      </c>
      <c r="L23" s="45">
        <v>1</v>
      </c>
      <c r="M23" s="90">
        <v>500</v>
      </c>
      <c r="N23" s="46">
        <f t="shared" si="6"/>
        <v>500</v>
      </c>
      <c r="O23" s="27">
        <v>0</v>
      </c>
      <c r="P23" s="27">
        <v>1000</v>
      </c>
      <c r="Q23" s="47">
        <v>1000</v>
      </c>
      <c r="R23" s="26">
        <v>15000</v>
      </c>
      <c r="S23" s="48">
        <f t="shared" si="2"/>
        <v>42500</v>
      </c>
      <c r="T23" s="49">
        <f t="shared" si="3"/>
        <v>27500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s="8" customFormat="1" ht="30" customHeight="1">
      <c r="A24" s="7"/>
      <c r="B24" s="56" t="s">
        <v>50</v>
      </c>
      <c r="C24" s="56"/>
      <c r="D24" s="56"/>
      <c r="E24" s="56"/>
      <c r="F24" s="69">
        <v>46097</v>
      </c>
      <c r="G24" s="69">
        <v>46097</v>
      </c>
      <c r="H24" s="69">
        <v>46103</v>
      </c>
      <c r="I24" s="77">
        <f t="shared" ref="I24:N24" si="7">SUM(I25:I27)</f>
        <v>8</v>
      </c>
      <c r="J24" s="80">
        <f t="shared" si="7"/>
        <v>75000</v>
      </c>
      <c r="K24" s="81">
        <f t="shared" si="7"/>
        <v>200000</v>
      </c>
      <c r="L24" s="77">
        <f t="shared" si="7"/>
        <v>3</v>
      </c>
      <c r="M24" s="80">
        <f t="shared" si="7"/>
        <v>1500</v>
      </c>
      <c r="N24" s="81">
        <f t="shared" si="7"/>
        <v>1500</v>
      </c>
      <c r="O24" s="81">
        <f>SUM(O25:O27)</f>
        <v>0</v>
      </c>
      <c r="P24" s="81">
        <f>SUM(P25:P27)</f>
        <v>3000</v>
      </c>
      <c r="Q24" s="81">
        <f>SUM(Q25:Q27)</f>
        <v>3000</v>
      </c>
      <c r="R24" s="81">
        <f>SUM(R25:R27)</f>
        <v>175000</v>
      </c>
      <c r="S24" s="48">
        <f t="shared" si="2"/>
        <v>207500</v>
      </c>
      <c r="T24" s="49">
        <f t="shared" si="3"/>
        <v>32500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s="8" customFormat="1" ht="30" customHeight="1">
      <c r="A25" s="7"/>
      <c r="B25" s="52" t="s">
        <v>51</v>
      </c>
      <c r="C25" s="52" t="s">
        <v>51</v>
      </c>
      <c r="D25" s="98"/>
      <c r="E25" s="58" t="s">
        <v>30</v>
      </c>
      <c r="F25" s="71">
        <v>46097</v>
      </c>
      <c r="G25" s="71">
        <v>46097</v>
      </c>
      <c r="H25" s="72">
        <v>46099</v>
      </c>
      <c r="I25" s="45">
        <v>3</v>
      </c>
      <c r="J25" s="26">
        <v>25000</v>
      </c>
      <c r="K25" s="46">
        <f t="shared" si="4"/>
        <v>75000</v>
      </c>
      <c r="L25" s="45">
        <v>1</v>
      </c>
      <c r="M25" s="90">
        <v>500</v>
      </c>
      <c r="N25" s="46">
        <f>L25*M25</f>
        <v>500</v>
      </c>
      <c r="O25" s="27">
        <v>0</v>
      </c>
      <c r="P25" s="27">
        <v>1000</v>
      </c>
      <c r="Q25" s="47">
        <v>1000</v>
      </c>
      <c r="R25" s="47">
        <v>50000</v>
      </c>
      <c r="S25" s="48">
        <f t="shared" si="2"/>
        <v>77500</v>
      </c>
      <c r="T25" s="49">
        <f t="shared" si="3"/>
        <v>27500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s="8" customFormat="1" ht="30" customHeight="1">
      <c r="A26" s="7"/>
      <c r="B26" s="52" t="s">
        <v>52</v>
      </c>
      <c r="C26" s="52" t="s">
        <v>52</v>
      </c>
      <c r="D26" s="98"/>
      <c r="E26" s="58" t="s">
        <v>30</v>
      </c>
      <c r="F26" s="71">
        <v>46099</v>
      </c>
      <c r="G26" s="71">
        <v>46099</v>
      </c>
      <c r="H26" s="72">
        <v>46100</v>
      </c>
      <c r="I26" s="45">
        <v>2</v>
      </c>
      <c r="J26" s="26">
        <v>25000</v>
      </c>
      <c r="K26" s="46">
        <f t="shared" si="4"/>
        <v>50000</v>
      </c>
      <c r="L26" s="45">
        <v>1</v>
      </c>
      <c r="M26" s="90">
        <v>500</v>
      </c>
      <c r="N26" s="46">
        <f>L26*M26</f>
        <v>500</v>
      </c>
      <c r="O26" s="27">
        <v>0</v>
      </c>
      <c r="P26" s="27">
        <v>1000</v>
      </c>
      <c r="Q26" s="47">
        <v>1000</v>
      </c>
      <c r="R26" s="47">
        <v>50000</v>
      </c>
      <c r="S26" s="48">
        <f t="shared" si="2"/>
        <v>52500</v>
      </c>
      <c r="T26" s="49">
        <f t="shared" si="3"/>
        <v>2500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s="8" customFormat="1" ht="30" customHeight="1">
      <c r="A27" s="7"/>
      <c r="B27" s="53" t="s">
        <v>53</v>
      </c>
      <c r="C27" s="53" t="s">
        <v>53</v>
      </c>
      <c r="D27" s="99"/>
      <c r="E27" s="58" t="s">
        <v>30</v>
      </c>
      <c r="F27" s="71">
        <v>46100</v>
      </c>
      <c r="G27" s="71">
        <v>46100</v>
      </c>
      <c r="H27" s="72">
        <v>46103</v>
      </c>
      <c r="I27" s="45">
        <v>3</v>
      </c>
      <c r="J27" s="26">
        <v>25000</v>
      </c>
      <c r="K27" s="46">
        <f t="shared" si="4"/>
        <v>75000</v>
      </c>
      <c r="L27" s="45">
        <v>1</v>
      </c>
      <c r="M27" s="90">
        <v>500</v>
      </c>
      <c r="N27" s="46">
        <f>L27*M27</f>
        <v>500</v>
      </c>
      <c r="O27" s="27">
        <v>0</v>
      </c>
      <c r="P27" s="27">
        <v>1000</v>
      </c>
      <c r="Q27" s="47">
        <v>1000</v>
      </c>
      <c r="R27" s="47">
        <v>75000</v>
      </c>
      <c r="S27" s="48">
        <f t="shared" si="2"/>
        <v>77500</v>
      </c>
      <c r="T27" s="49">
        <f t="shared" si="3"/>
        <v>2500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s="8" customFormat="1" ht="30" customHeight="1">
      <c r="A28" s="7"/>
      <c r="B28" s="57" t="s">
        <v>54</v>
      </c>
      <c r="C28" s="57"/>
      <c r="D28" s="57"/>
      <c r="E28" s="57"/>
      <c r="F28" s="70">
        <v>46106</v>
      </c>
      <c r="G28" s="70">
        <v>46106</v>
      </c>
      <c r="H28" s="70">
        <v>46115</v>
      </c>
      <c r="I28" s="82">
        <f t="shared" ref="I28:N28" si="8">SUM(I29:I31)</f>
        <v>18</v>
      </c>
      <c r="J28" s="83">
        <f t="shared" si="8"/>
        <v>75000</v>
      </c>
      <c r="K28" s="84">
        <f t="shared" si="8"/>
        <v>450000</v>
      </c>
      <c r="L28" s="82">
        <f t="shared" si="8"/>
        <v>4</v>
      </c>
      <c r="M28" s="83">
        <f t="shared" si="8"/>
        <v>30000</v>
      </c>
      <c r="N28" s="84">
        <f t="shared" si="8"/>
        <v>40000</v>
      </c>
      <c r="O28" s="84">
        <f>SUM(O25:O27)</f>
        <v>0</v>
      </c>
      <c r="P28" s="84">
        <f>SUM(P29:P31)</f>
        <v>3000</v>
      </c>
      <c r="Q28" s="84">
        <f>SUM(Q29:Q31)</f>
        <v>0</v>
      </c>
      <c r="R28" s="84">
        <f>SUM(R29:R31)</f>
        <v>475000</v>
      </c>
      <c r="S28" s="48">
        <f t="shared" si="2"/>
        <v>493000</v>
      </c>
      <c r="T28" s="49">
        <f t="shared" si="3"/>
        <v>18000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s="8" customFormat="1" ht="30.75" customHeight="1">
      <c r="A29" s="7"/>
      <c r="B29" s="52" t="s">
        <v>55</v>
      </c>
      <c r="C29" s="52" t="s">
        <v>55</v>
      </c>
      <c r="D29" s="52"/>
      <c r="E29" s="58" t="s">
        <v>30</v>
      </c>
      <c r="F29" s="71">
        <v>46106</v>
      </c>
      <c r="G29" s="71">
        <v>46106</v>
      </c>
      <c r="H29" s="72">
        <v>46107</v>
      </c>
      <c r="I29" s="45">
        <v>2</v>
      </c>
      <c r="J29" s="26">
        <v>25000</v>
      </c>
      <c r="K29" s="46">
        <f t="shared" si="4"/>
        <v>50000</v>
      </c>
      <c r="L29" s="45">
        <v>1</v>
      </c>
      <c r="M29" s="90">
        <v>10000</v>
      </c>
      <c r="N29" s="46">
        <f>L29*M29</f>
        <v>10000</v>
      </c>
      <c r="O29" s="27">
        <v>0</v>
      </c>
      <c r="P29" s="27">
        <v>1000</v>
      </c>
      <c r="Q29" s="47">
        <v>0</v>
      </c>
      <c r="R29" s="26">
        <v>75000</v>
      </c>
      <c r="S29" s="48">
        <f t="shared" si="2"/>
        <v>61000</v>
      </c>
      <c r="T29" s="49">
        <f t="shared" si="3"/>
        <v>-14000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s="8" customFormat="1" ht="30.75" customHeight="1">
      <c r="A30" s="7"/>
      <c r="B30" s="52" t="s">
        <v>56</v>
      </c>
      <c r="C30" s="52" t="s">
        <v>56</v>
      </c>
      <c r="D30" s="52"/>
      <c r="E30" s="58" t="s">
        <v>30</v>
      </c>
      <c r="F30" s="71">
        <v>46107</v>
      </c>
      <c r="G30" s="71">
        <v>46107</v>
      </c>
      <c r="H30" s="72">
        <v>46110</v>
      </c>
      <c r="I30" s="45">
        <v>6</v>
      </c>
      <c r="J30" s="26">
        <v>25000</v>
      </c>
      <c r="K30" s="46">
        <f>I30*J31</f>
        <v>150000</v>
      </c>
      <c r="L30" s="45">
        <v>1</v>
      </c>
      <c r="M30" s="90">
        <v>10000</v>
      </c>
      <c r="N30" s="46">
        <f>L30*M30</f>
        <v>10000</v>
      </c>
      <c r="O30" s="27">
        <v>0</v>
      </c>
      <c r="P30" s="27">
        <v>1000</v>
      </c>
      <c r="Q30" s="47">
        <v>0</v>
      </c>
      <c r="R30" s="26">
        <v>100000</v>
      </c>
      <c r="S30" s="48">
        <f t="shared" si="2"/>
        <v>161000</v>
      </c>
      <c r="T30" s="49">
        <f t="shared" si="3"/>
        <v>61000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s="8" customFormat="1" ht="30.75" customHeight="1">
      <c r="A31" s="7"/>
      <c r="B31" s="52" t="s">
        <v>57</v>
      </c>
      <c r="C31" s="52" t="s">
        <v>57</v>
      </c>
      <c r="D31" s="52"/>
      <c r="E31" s="58" t="s">
        <v>30</v>
      </c>
      <c r="F31" s="71">
        <v>46110</v>
      </c>
      <c r="G31" s="71">
        <v>46110</v>
      </c>
      <c r="H31" s="72">
        <v>46115</v>
      </c>
      <c r="I31" s="45">
        <v>10</v>
      </c>
      <c r="J31" s="26">
        <v>25000</v>
      </c>
      <c r="K31" s="46">
        <f>I31*J31</f>
        <v>250000</v>
      </c>
      <c r="L31" s="45">
        <v>2</v>
      </c>
      <c r="M31" s="90">
        <v>10000</v>
      </c>
      <c r="N31" s="46">
        <f>L31*M31</f>
        <v>20000</v>
      </c>
      <c r="O31" s="27">
        <v>0</v>
      </c>
      <c r="P31" s="27">
        <v>1000</v>
      </c>
      <c r="Q31" s="47">
        <v>0</v>
      </c>
      <c r="R31" s="26">
        <v>300000</v>
      </c>
      <c r="S31" s="48">
        <f t="shared" si="2"/>
        <v>271000</v>
      </c>
      <c r="T31" s="49">
        <f t="shared" si="3"/>
        <v>-29000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s="8" customFormat="1" ht="30.75" customHeight="1">
      <c r="A32" s="7"/>
      <c r="B32" s="51" t="s">
        <v>58</v>
      </c>
      <c r="C32" s="51"/>
      <c r="D32" s="51"/>
      <c r="E32" s="51"/>
      <c r="F32" s="73">
        <v>46118</v>
      </c>
      <c r="G32" s="73">
        <v>46118</v>
      </c>
      <c r="H32" s="73">
        <v>46127</v>
      </c>
      <c r="I32" s="85">
        <f t="shared" ref="I32:N32" si="9">SUM(I33:I36)</f>
        <v>19</v>
      </c>
      <c r="J32" s="86">
        <f t="shared" si="9"/>
        <v>240000</v>
      </c>
      <c r="K32" s="87">
        <f t="shared" si="9"/>
        <v>1140000</v>
      </c>
      <c r="L32" s="85">
        <f t="shared" si="9"/>
        <v>8</v>
      </c>
      <c r="M32" s="86">
        <f t="shared" si="9"/>
        <v>20000</v>
      </c>
      <c r="N32" s="87">
        <f t="shared" si="9"/>
        <v>40000</v>
      </c>
      <c r="O32" s="87">
        <f>SUM(O29:O31)</f>
        <v>0</v>
      </c>
      <c r="P32" s="87">
        <f>SUM(P33:P36)</f>
        <v>135000</v>
      </c>
      <c r="Q32" s="87">
        <f>SUM(Q33:Q36)</f>
        <v>0</v>
      </c>
      <c r="R32" s="87">
        <f>SUM(R33:R36)</f>
        <v>1000000</v>
      </c>
      <c r="S32" s="48">
        <f t="shared" si="2"/>
        <v>1315000</v>
      </c>
      <c r="T32" s="49">
        <f t="shared" si="3"/>
        <v>315000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s="8" customFormat="1" ht="30.75" customHeight="1">
      <c r="A33" s="7"/>
      <c r="B33" s="52" t="s">
        <v>59</v>
      </c>
      <c r="C33" s="52" t="s">
        <v>59</v>
      </c>
      <c r="D33" s="98"/>
      <c r="E33" s="58" t="s">
        <v>30</v>
      </c>
      <c r="F33" s="71">
        <v>46118</v>
      </c>
      <c r="G33" s="71">
        <v>46118</v>
      </c>
      <c r="H33" s="72">
        <v>46119</v>
      </c>
      <c r="I33" s="45">
        <v>1</v>
      </c>
      <c r="J33" s="26">
        <v>60000</v>
      </c>
      <c r="K33" s="46">
        <f t="shared" si="4"/>
        <v>60000</v>
      </c>
      <c r="L33" s="45">
        <v>1</v>
      </c>
      <c r="M33" s="90">
        <v>5000</v>
      </c>
      <c r="N33" s="46">
        <f>L33*M33</f>
        <v>5000</v>
      </c>
      <c r="O33" s="27">
        <v>0</v>
      </c>
      <c r="P33" s="27">
        <v>5000</v>
      </c>
      <c r="Q33" s="47">
        <v>0</v>
      </c>
      <c r="R33" s="26">
        <v>100000</v>
      </c>
      <c r="S33" s="48">
        <f t="shared" si="2"/>
        <v>70000</v>
      </c>
      <c r="T33" s="49">
        <f>S33-R33</f>
        <v>-30000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s="8" customFormat="1" ht="30.75" customHeight="1">
      <c r="A34" s="7"/>
      <c r="B34" s="52" t="s">
        <v>60</v>
      </c>
      <c r="C34" s="52" t="s">
        <v>60</v>
      </c>
      <c r="D34" s="98"/>
      <c r="E34" s="58" t="s">
        <v>30</v>
      </c>
      <c r="F34" s="71">
        <v>46119</v>
      </c>
      <c r="G34" s="71">
        <v>46119</v>
      </c>
      <c r="H34" s="72">
        <v>46121</v>
      </c>
      <c r="I34" s="45">
        <v>1</v>
      </c>
      <c r="J34" s="26">
        <v>60000</v>
      </c>
      <c r="K34" s="46">
        <f t="shared" si="4"/>
        <v>60000</v>
      </c>
      <c r="L34" s="45">
        <v>1</v>
      </c>
      <c r="M34" s="90">
        <v>5000</v>
      </c>
      <c r="N34" s="46">
        <f>L34*M34</f>
        <v>5000</v>
      </c>
      <c r="O34" s="27">
        <v>0</v>
      </c>
      <c r="P34" s="27">
        <v>5000</v>
      </c>
      <c r="Q34" s="47">
        <v>0</v>
      </c>
      <c r="R34" s="26">
        <v>100000</v>
      </c>
      <c r="S34" s="48">
        <f t="shared" si="2"/>
        <v>70000</v>
      </c>
      <c r="T34" s="49">
        <f>S34-R34</f>
        <v>-30000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s="8" customFormat="1" ht="30.75" customHeight="1">
      <c r="A35" s="7"/>
      <c r="B35" s="52" t="s">
        <v>61</v>
      </c>
      <c r="C35" s="52" t="s">
        <v>61</v>
      </c>
      <c r="D35" s="98"/>
      <c r="E35" s="58" t="s">
        <v>30</v>
      </c>
      <c r="F35" s="71">
        <v>46121</v>
      </c>
      <c r="G35" s="71">
        <v>46121</v>
      </c>
      <c r="H35" s="72">
        <v>46124</v>
      </c>
      <c r="I35" s="45">
        <v>3</v>
      </c>
      <c r="J35" s="26">
        <v>60000</v>
      </c>
      <c r="K35" s="46">
        <f t="shared" si="4"/>
        <v>180000</v>
      </c>
      <c r="L35" s="45">
        <v>1</v>
      </c>
      <c r="M35" s="90">
        <v>5000</v>
      </c>
      <c r="N35" s="46">
        <f>L35*M35</f>
        <v>5000</v>
      </c>
      <c r="O35" s="27">
        <v>0</v>
      </c>
      <c r="P35" s="27">
        <v>25000</v>
      </c>
      <c r="Q35" s="47">
        <v>0</v>
      </c>
      <c r="R35" s="26">
        <v>200000</v>
      </c>
      <c r="S35" s="48">
        <f t="shared" si="2"/>
        <v>210000</v>
      </c>
      <c r="T35" s="49">
        <f t="shared" si="3"/>
        <v>10000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s="8" customFormat="1" ht="30.75" customHeight="1">
      <c r="A36" s="7"/>
      <c r="B36" s="52" t="s">
        <v>62</v>
      </c>
      <c r="C36" s="52" t="s">
        <v>62</v>
      </c>
      <c r="D36" s="98"/>
      <c r="E36" s="58" t="s">
        <v>30</v>
      </c>
      <c r="F36" s="71">
        <v>46124</v>
      </c>
      <c r="G36" s="71">
        <v>46124</v>
      </c>
      <c r="H36" s="72">
        <v>46127</v>
      </c>
      <c r="I36" s="45">
        <v>14</v>
      </c>
      <c r="J36" s="26">
        <v>60000</v>
      </c>
      <c r="K36" s="46">
        <f t="shared" si="4"/>
        <v>840000</v>
      </c>
      <c r="L36" s="45">
        <v>5</v>
      </c>
      <c r="M36" s="90">
        <v>5000</v>
      </c>
      <c r="N36" s="46">
        <f>L36*M36</f>
        <v>25000</v>
      </c>
      <c r="O36" s="27">
        <v>0</v>
      </c>
      <c r="P36" s="27">
        <v>100000</v>
      </c>
      <c r="Q36" s="47">
        <v>0</v>
      </c>
      <c r="R36" s="26">
        <v>600000</v>
      </c>
      <c r="S36" s="48">
        <f t="shared" si="2"/>
        <v>965000</v>
      </c>
      <c r="T36" s="49">
        <f t="shared" si="3"/>
        <v>365000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s="8" customFormat="1" ht="30.75" customHeight="1">
      <c r="A37" s="7"/>
      <c r="B37" s="55" t="s">
        <v>63</v>
      </c>
      <c r="C37" s="55"/>
      <c r="D37" s="55"/>
      <c r="E37" s="55"/>
      <c r="F37" s="68">
        <v>46130</v>
      </c>
      <c r="G37" s="68">
        <v>46130</v>
      </c>
      <c r="H37" s="68">
        <v>46131</v>
      </c>
      <c r="I37" s="76">
        <f t="shared" ref="I37:N37" si="10">SUM(I38)</f>
        <v>4</v>
      </c>
      <c r="J37" s="78">
        <f t="shared" si="10"/>
        <v>50000</v>
      </c>
      <c r="K37" s="79">
        <f t="shared" si="10"/>
        <v>200000</v>
      </c>
      <c r="L37" s="76">
        <f t="shared" si="10"/>
        <v>1</v>
      </c>
      <c r="M37" s="78">
        <f t="shared" si="10"/>
        <v>10000</v>
      </c>
      <c r="N37" s="79">
        <f t="shared" si="10"/>
        <v>10000</v>
      </c>
      <c r="O37" s="79">
        <f>SUM(O33:O36)</f>
        <v>0</v>
      </c>
      <c r="P37" s="79">
        <f>SUM(P38)</f>
        <v>30000</v>
      </c>
      <c r="Q37" s="79">
        <f>SUM(Q38)</f>
        <v>0</v>
      </c>
      <c r="R37" s="79">
        <f>SUM(R38)</f>
        <v>150000</v>
      </c>
      <c r="S37" s="48">
        <f t="shared" si="2"/>
        <v>240000</v>
      </c>
      <c r="T37" s="49">
        <f t="shared" si="3"/>
        <v>90000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s="8" customFormat="1" ht="30.75" customHeight="1">
      <c r="A38" s="7"/>
      <c r="B38" s="52" t="s">
        <v>64</v>
      </c>
      <c r="C38" s="52" t="s">
        <v>64</v>
      </c>
      <c r="D38" s="52"/>
      <c r="E38" s="58" t="s">
        <v>30</v>
      </c>
      <c r="F38" s="71">
        <v>46130</v>
      </c>
      <c r="G38" s="71">
        <v>46130</v>
      </c>
      <c r="H38" s="72">
        <v>46131</v>
      </c>
      <c r="I38" s="45">
        <v>4</v>
      </c>
      <c r="J38" s="26">
        <v>50000</v>
      </c>
      <c r="K38" s="46">
        <f t="shared" si="4"/>
        <v>200000</v>
      </c>
      <c r="L38" s="45">
        <v>1</v>
      </c>
      <c r="M38" s="90">
        <v>10000</v>
      </c>
      <c r="N38" s="46">
        <f>L38*M38</f>
        <v>10000</v>
      </c>
      <c r="O38" s="27">
        <v>0</v>
      </c>
      <c r="P38" s="27">
        <v>30000</v>
      </c>
      <c r="Q38" s="47">
        <v>0</v>
      </c>
      <c r="R38" s="26">
        <v>150000</v>
      </c>
      <c r="S38" s="48">
        <f t="shared" si="2"/>
        <v>240000</v>
      </c>
      <c r="T38" s="49">
        <f t="shared" si="3"/>
        <v>90000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s="8" customFormat="1" ht="30.75" customHeight="1">
      <c r="A39" s="7"/>
      <c r="B39" s="56" t="s">
        <v>65</v>
      </c>
      <c r="C39" s="56"/>
      <c r="D39" s="56"/>
      <c r="E39" s="56"/>
      <c r="F39" s="69">
        <v>46134</v>
      </c>
      <c r="G39" s="69">
        <v>46134</v>
      </c>
      <c r="H39" s="69">
        <v>46143</v>
      </c>
      <c r="I39" s="77">
        <f t="shared" ref="I39:N39" si="11">SUM(I40:I43)</f>
        <v>51</v>
      </c>
      <c r="J39" s="80">
        <f t="shared" si="11"/>
        <v>200000</v>
      </c>
      <c r="K39" s="81">
        <f t="shared" si="11"/>
        <v>2550000</v>
      </c>
      <c r="L39" s="77">
        <f t="shared" si="11"/>
        <v>7</v>
      </c>
      <c r="M39" s="80">
        <f t="shared" si="11"/>
        <v>156000</v>
      </c>
      <c r="N39" s="81">
        <f t="shared" si="11"/>
        <v>381000</v>
      </c>
      <c r="O39" s="81">
        <f>O38</f>
        <v>0</v>
      </c>
      <c r="P39" s="81">
        <f>SUM(P40:P43)</f>
        <v>125000</v>
      </c>
      <c r="Q39" s="81">
        <f>SUM(Q40:Q43)</f>
        <v>0</v>
      </c>
      <c r="R39" s="81">
        <f>SUM(R40:R43)</f>
        <v>3500000</v>
      </c>
      <c r="S39" s="48">
        <f t="shared" si="2"/>
        <v>3056000</v>
      </c>
      <c r="T39" s="49">
        <f t="shared" si="3"/>
        <v>-444000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s="8" customFormat="1" ht="30.75" customHeight="1">
      <c r="A40" s="7"/>
      <c r="B40" s="52" t="s">
        <v>66</v>
      </c>
      <c r="C40" s="52" t="s">
        <v>66</v>
      </c>
      <c r="D40" s="98"/>
      <c r="E40" s="58" t="s">
        <v>30</v>
      </c>
      <c r="F40" s="71">
        <v>46134</v>
      </c>
      <c r="G40" s="71">
        <v>46134</v>
      </c>
      <c r="H40" s="72">
        <v>46135</v>
      </c>
      <c r="I40" s="45">
        <v>3</v>
      </c>
      <c r="J40" s="26">
        <v>50000</v>
      </c>
      <c r="K40" s="46">
        <f t="shared" si="4"/>
        <v>150000</v>
      </c>
      <c r="L40" s="45">
        <v>1</v>
      </c>
      <c r="M40" s="90">
        <v>5000</v>
      </c>
      <c r="N40" s="46">
        <f>L40*M40</f>
        <v>5000</v>
      </c>
      <c r="O40" s="27">
        <v>0</v>
      </c>
      <c r="P40" s="27">
        <v>35000</v>
      </c>
      <c r="Q40" s="47">
        <v>0</v>
      </c>
      <c r="R40" s="26">
        <v>300000</v>
      </c>
      <c r="S40" s="48">
        <f t="shared" si="2"/>
        <v>190000</v>
      </c>
      <c r="T40" s="49">
        <f t="shared" si="3"/>
        <v>-110000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s="8" customFormat="1" ht="30.75" customHeight="1">
      <c r="A41" s="7"/>
      <c r="B41" s="52" t="s">
        <v>67</v>
      </c>
      <c r="C41" s="52" t="s">
        <v>67</v>
      </c>
      <c r="D41" s="98"/>
      <c r="E41" s="58" t="s">
        <v>30</v>
      </c>
      <c r="F41" s="71">
        <v>46135</v>
      </c>
      <c r="G41" s="71">
        <v>46135</v>
      </c>
      <c r="H41" s="72">
        <v>46137</v>
      </c>
      <c r="I41" s="45">
        <v>4</v>
      </c>
      <c r="J41" s="26">
        <v>50000</v>
      </c>
      <c r="K41" s="46">
        <f t="shared" si="4"/>
        <v>200000</v>
      </c>
      <c r="L41" s="45">
        <v>1</v>
      </c>
      <c r="M41" s="90">
        <v>1000</v>
      </c>
      <c r="N41" s="46">
        <f>L41*M41</f>
        <v>1000</v>
      </c>
      <c r="O41" s="27">
        <v>0</v>
      </c>
      <c r="P41" s="27">
        <v>25000</v>
      </c>
      <c r="Q41" s="47">
        <v>0</v>
      </c>
      <c r="R41" s="26">
        <v>200000</v>
      </c>
      <c r="S41" s="48">
        <f t="shared" si="2"/>
        <v>226000</v>
      </c>
      <c r="T41" s="49">
        <f t="shared" si="3"/>
        <v>26000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s="8" customFormat="1" ht="30.75" customHeight="1">
      <c r="A42" s="7"/>
      <c r="B42" s="52" t="s">
        <v>68</v>
      </c>
      <c r="C42" s="52" t="s">
        <v>68</v>
      </c>
      <c r="D42" s="98"/>
      <c r="E42" s="58" t="s">
        <v>30</v>
      </c>
      <c r="F42" s="71">
        <v>46137</v>
      </c>
      <c r="G42" s="71">
        <v>46137</v>
      </c>
      <c r="H42" s="72">
        <v>46142</v>
      </c>
      <c r="I42" s="45">
        <v>24</v>
      </c>
      <c r="J42" s="26">
        <v>50000</v>
      </c>
      <c r="K42" s="46">
        <f t="shared" si="4"/>
        <v>1200000</v>
      </c>
      <c r="L42" s="45">
        <v>2</v>
      </c>
      <c r="M42" s="90">
        <v>75000</v>
      </c>
      <c r="N42" s="46">
        <f>L42*M42</f>
        <v>150000</v>
      </c>
      <c r="O42" s="27">
        <v>0</v>
      </c>
      <c r="P42" s="27">
        <v>30000</v>
      </c>
      <c r="Q42" s="47">
        <v>0</v>
      </c>
      <c r="R42" s="26">
        <v>1500000</v>
      </c>
      <c r="S42" s="48">
        <f t="shared" si="2"/>
        <v>1380000</v>
      </c>
      <c r="T42" s="49">
        <f t="shared" si="3"/>
        <v>-120000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s="8" customFormat="1" ht="30.75" customHeight="1">
      <c r="A43" s="7"/>
      <c r="B43" s="52" t="s">
        <v>69</v>
      </c>
      <c r="C43" s="52" t="s">
        <v>69</v>
      </c>
      <c r="D43" s="98"/>
      <c r="E43" s="58" t="s">
        <v>30</v>
      </c>
      <c r="F43" s="71">
        <v>46142</v>
      </c>
      <c r="G43" s="71">
        <v>46142</v>
      </c>
      <c r="H43" s="72">
        <v>46143</v>
      </c>
      <c r="I43" s="45">
        <v>20</v>
      </c>
      <c r="J43" s="26">
        <v>50000</v>
      </c>
      <c r="K43" s="46">
        <f t="shared" si="4"/>
        <v>1000000</v>
      </c>
      <c r="L43" s="45">
        <v>3</v>
      </c>
      <c r="M43" s="90">
        <v>75000</v>
      </c>
      <c r="N43" s="46">
        <f>L43*M43</f>
        <v>225000</v>
      </c>
      <c r="O43" s="27">
        <v>0</v>
      </c>
      <c r="P43" s="27">
        <v>35000</v>
      </c>
      <c r="Q43" s="47">
        <v>0</v>
      </c>
      <c r="R43" s="26">
        <v>1500000</v>
      </c>
      <c r="S43" s="48">
        <f t="shared" si="2"/>
        <v>1260000</v>
      </c>
      <c r="T43" s="49">
        <f t="shared" si="3"/>
        <v>-240000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s="8" customFormat="1" ht="30.75" customHeight="1">
      <c r="A44" s="7"/>
      <c r="B44" s="57" t="s">
        <v>70</v>
      </c>
      <c r="C44" s="57"/>
      <c r="D44" s="57"/>
      <c r="E44" s="57"/>
      <c r="F44" s="70">
        <v>46146</v>
      </c>
      <c r="G44" s="70">
        <v>46146</v>
      </c>
      <c r="H44" s="70">
        <v>46161</v>
      </c>
      <c r="I44" s="82">
        <f t="shared" ref="I44:N44" si="12">SUM(I45:I50)</f>
        <v>42</v>
      </c>
      <c r="J44" s="83">
        <f t="shared" si="12"/>
        <v>180000</v>
      </c>
      <c r="K44" s="84">
        <f t="shared" si="12"/>
        <v>1260000</v>
      </c>
      <c r="L44" s="82">
        <f t="shared" si="12"/>
        <v>7</v>
      </c>
      <c r="M44" s="83">
        <f t="shared" si="12"/>
        <v>16000</v>
      </c>
      <c r="N44" s="84">
        <f t="shared" si="12"/>
        <v>26000</v>
      </c>
      <c r="O44" s="84">
        <f>SUM(O40:O43)</f>
        <v>0</v>
      </c>
      <c r="P44" s="84">
        <f>SUM(P45:P50)</f>
        <v>60000</v>
      </c>
      <c r="Q44" s="84">
        <f>SUM(Q45:Q50)</f>
        <v>0</v>
      </c>
      <c r="R44" s="84">
        <f>SUM(R45:R50)</f>
        <v>1350000</v>
      </c>
      <c r="S44" s="48">
        <f t="shared" si="2"/>
        <v>1346000</v>
      </c>
      <c r="T44" s="49">
        <f t="shared" si="3"/>
        <v>-4000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s="8" customFormat="1" ht="30.75" customHeight="1">
      <c r="A45" s="7"/>
      <c r="B45" s="52" t="s">
        <v>71</v>
      </c>
      <c r="C45" s="52" t="s">
        <v>71</v>
      </c>
      <c r="D45" s="52"/>
      <c r="E45" s="59" t="s">
        <v>30</v>
      </c>
      <c r="F45" s="71">
        <v>46146</v>
      </c>
      <c r="G45" s="71">
        <v>46146</v>
      </c>
      <c r="H45" s="72">
        <v>46147</v>
      </c>
      <c r="I45" s="45">
        <v>1</v>
      </c>
      <c r="J45" s="26">
        <v>30000</v>
      </c>
      <c r="K45" s="46">
        <f t="shared" si="4"/>
        <v>30000</v>
      </c>
      <c r="L45" s="45">
        <v>1</v>
      </c>
      <c r="M45" s="90">
        <v>1000</v>
      </c>
      <c r="N45" s="46">
        <f t="shared" ref="N45:N50" si="13">L45*M45</f>
        <v>1000</v>
      </c>
      <c r="O45" s="27">
        <v>0</v>
      </c>
      <c r="P45" s="27">
        <v>10000</v>
      </c>
      <c r="Q45" s="47">
        <v>0</v>
      </c>
      <c r="R45" s="26">
        <v>50000</v>
      </c>
      <c r="S45" s="48">
        <f t="shared" si="2"/>
        <v>41000</v>
      </c>
      <c r="T45" s="49">
        <f t="shared" si="3"/>
        <v>-9000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s="8" customFormat="1" ht="30.75" customHeight="1">
      <c r="A46" s="7"/>
      <c r="B46" s="52" t="s">
        <v>72</v>
      </c>
      <c r="C46" s="52" t="s">
        <v>72</v>
      </c>
      <c r="D46" s="52"/>
      <c r="E46" s="59" t="s">
        <v>30</v>
      </c>
      <c r="F46" s="71">
        <v>46147</v>
      </c>
      <c r="G46" s="71">
        <v>46147</v>
      </c>
      <c r="H46" s="72">
        <v>46148</v>
      </c>
      <c r="I46" s="45">
        <v>2</v>
      </c>
      <c r="J46" s="26">
        <v>30000</v>
      </c>
      <c r="K46" s="46">
        <f t="shared" si="4"/>
        <v>60000</v>
      </c>
      <c r="L46" s="45">
        <v>1</v>
      </c>
      <c r="M46" s="90">
        <v>1000</v>
      </c>
      <c r="N46" s="46">
        <f t="shared" si="13"/>
        <v>1000</v>
      </c>
      <c r="O46" s="27">
        <v>0</v>
      </c>
      <c r="P46" s="27">
        <v>10000</v>
      </c>
      <c r="Q46" s="47">
        <v>0</v>
      </c>
      <c r="R46" s="26">
        <v>100000</v>
      </c>
      <c r="S46" s="48">
        <f t="shared" si="2"/>
        <v>71000</v>
      </c>
      <c r="T46" s="49">
        <f t="shared" si="3"/>
        <v>-29000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s="8" customFormat="1" ht="30.75" customHeight="1">
      <c r="A47" s="7"/>
      <c r="B47" s="52" t="s">
        <v>73</v>
      </c>
      <c r="C47" s="52" t="s">
        <v>73</v>
      </c>
      <c r="D47" s="52"/>
      <c r="E47" s="59" t="s">
        <v>30</v>
      </c>
      <c r="F47" s="71">
        <v>46148</v>
      </c>
      <c r="G47" s="71">
        <v>46148</v>
      </c>
      <c r="H47" s="72">
        <v>46151</v>
      </c>
      <c r="I47" s="45">
        <v>15</v>
      </c>
      <c r="J47" s="26">
        <v>30000</v>
      </c>
      <c r="K47" s="46">
        <f t="shared" si="4"/>
        <v>450000</v>
      </c>
      <c r="L47" s="45">
        <v>1</v>
      </c>
      <c r="M47" s="90">
        <v>1000</v>
      </c>
      <c r="N47" s="46">
        <f t="shared" si="13"/>
        <v>1000</v>
      </c>
      <c r="O47" s="27">
        <v>0</v>
      </c>
      <c r="P47" s="27">
        <v>10000</v>
      </c>
      <c r="Q47" s="47">
        <v>0</v>
      </c>
      <c r="R47" s="26">
        <v>500000</v>
      </c>
      <c r="S47" s="48">
        <f t="shared" si="2"/>
        <v>461000</v>
      </c>
      <c r="T47" s="49">
        <f t="shared" si="3"/>
        <v>-39000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s="8" customFormat="1" ht="30.75" customHeight="1">
      <c r="A48" s="7"/>
      <c r="B48" s="52" t="s">
        <v>74</v>
      </c>
      <c r="C48" s="52" t="s">
        <v>74</v>
      </c>
      <c r="D48" s="52"/>
      <c r="E48" s="59" t="s">
        <v>30</v>
      </c>
      <c r="F48" s="71">
        <v>46151</v>
      </c>
      <c r="G48" s="71">
        <v>46151</v>
      </c>
      <c r="H48" s="72">
        <v>46153</v>
      </c>
      <c r="I48" s="45">
        <v>6</v>
      </c>
      <c r="J48" s="26">
        <v>30000</v>
      </c>
      <c r="K48" s="46">
        <f t="shared" si="4"/>
        <v>180000</v>
      </c>
      <c r="L48" s="45">
        <v>1</v>
      </c>
      <c r="M48" s="90">
        <v>1000</v>
      </c>
      <c r="N48" s="46">
        <f t="shared" si="13"/>
        <v>1000</v>
      </c>
      <c r="O48" s="27">
        <v>0</v>
      </c>
      <c r="P48" s="27">
        <v>10000</v>
      </c>
      <c r="Q48" s="47">
        <v>0</v>
      </c>
      <c r="R48" s="26">
        <v>200000</v>
      </c>
      <c r="S48" s="48">
        <f t="shared" si="2"/>
        <v>191000</v>
      </c>
      <c r="T48" s="49">
        <f t="shared" si="3"/>
        <v>-9000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s="8" customFormat="1" ht="30.75" customHeight="1">
      <c r="A49" s="7"/>
      <c r="B49" s="52" t="s">
        <v>75</v>
      </c>
      <c r="C49" s="52" t="s">
        <v>75</v>
      </c>
      <c r="D49" s="52"/>
      <c r="E49" s="59" t="s">
        <v>30</v>
      </c>
      <c r="F49" s="71">
        <v>46153</v>
      </c>
      <c r="G49" s="71">
        <v>46153</v>
      </c>
      <c r="H49" s="72">
        <v>46157</v>
      </c>
      <c r="I49" s="45">
        <v>8</v>
      </c>
      <c r="J49" s="26">
        <v>30000</v>
      </c>
      <c r="K49" s="46">
        <f t="shared" si="4"/>
        <v>240000</v>
      </c>
      <c r="L49" s="45">
        <v>1</v>
      </c>
      <c r="M49" s="90">
        <v>2000</v>
      </c>
      <c r="N49" s="46">
        <f t="shared" si="13"/>
        <v>2000</v>
      </c>
      <c r="O49" s="27">
        <v>0</v>
      </c>
      <c r="P49" s="27">
        <v>10000</v>
      </c>
      <c r="Q49" s="47">
        <v>0</v>
      </c>
      <c r="R49" s="26">
        <v>200000</v>
      </c>
      <c r="S49" s="48">
        <f t="shared" si="2"/>
        <v>252000</v>
      </c>
      <c r="T49" s="49">
        <f t="shared" si="3"/>
        <v>52000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s="8" customFormat="1" ht="30.75" customHeight="1">
      <c r="A50" s="7"/>
      <c r="B50" s="52" t="s">
        <v>76</v>
      </c>
      <c r="C50" s="52" t="s">
        <v>76</v>
      </c>
      <c r="D50" s="52"/>
      <c r="E50" s="59" t="s">
        <v>30</v>
      </c>
      <c r="F50" s="71">
        <v>46157</v>
      </c>
      <c r="G50" s="71">
        <v>46157</v>
      </c>
      <c r="H50" s="72">
        <v>46161</v>
      </c>
      <c r="I50" s="45">
        <v>10</v>
      </c>
      <c r="J50" s="26">
        <v>30000</v>
      </c>
      <c r="K50" s="46">
        <f t="shared" si="4"/>
        <v>300000</v>
      </c>
      <c r="L50" s="45">
        <v>2</v>
      </c>
      <c r="M50" s="90">
        <v>10000</v>
      </c>
      <c r="N50" s="46">
        <f t="shared" si="13"/>
        <v>20000</v>
      </c>
      <c r="O50" s="27">
        <v>0</v>
      </c>
      <c r="P50" s="27">
        <v>10000</v>
      </c>
      <c r="Q50" s="47">
        <v>0</v>
      </c>
      <c r="R50" s="26">
        <v>300000</v>
      </c>
      <c r="S50" s="48">
        <f t="shared" si="2"/>
        <v>330000</v>
      </c>
      <c r="T50" s="49">
        <f t="shared" si="3"/>
        <v>30000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s="8" customFormat="1" ht="30.75" customHeight="1">
      <c r="A51" s="7"/>
      <c r="B51" s="51" t="s">
        <v>77</v>
      </c>
      <c r="C51" s="51"/>
      <c r="D51" s="51"/>
      <c r="E51" s="51"/>
      <c r="F51" s="73">
        <v>46164</v>
      </c>
      <c r="G51" s="73">
        <v>46164</v>
      </c>
      <c r="H51" s="73">
        <v>46165</v>
      </c>
      <c r="I51" s="85">
        <f t="shared" ref="I51:N51" si="14">SUM(I52)</f>
        <v>5</v>
      </c>
      <c r="J51" s="86">
        <f t="shared" si="14"/>
        <v>40000</v>
      </c>
      <c r="K51" s="87">
        <f t="shared" si="14"/>
        <v>200000</v>
      </c>
      <c r="L51" s="85">
        <f t="shared" si="14"/>
        <v>2</v>
      </c>
      <c r="M51" s="86">
        <f t="shared" si="14"/>
        <v>2000</v>
      </c>
      <c r="N51" s="87">
        <f t="shared" si="14"/>
        <v>4000</v>
      </c>
      <c r="O51" s="87">
        <f>SUM(O45:O50)</f>
        <v>0</v>
      </c>
      <c r="P51" s="87">
        <f>SUM(P52)</f>
        <v>30000</v>
      </c>
      <c r="Q51" s="87">
        <f>SUM(Q52)</f>
        <v>0</v>
      </c>
      <c r="R51" s="87">
        <f>SUM(R52)</f>
        <v>200000</v>
      </c>
      <c r="S51" s="48">
        <f t="shared" si="2"/>
        <v>234000</v>
      </c>
      <c r="T51" s="49">
        <f t="shared" si="3"/>
        <v>34000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s="8" customFormat="1" ht="30.75" customHeight="1">
      <c r="A52" s="7"/>
      <c r="B52" s="52" t="s">
        <v>78</v>
      </c>
      <c r="C52" s="52" t="s">
        <v>78</v>
      </c>
      <c r="D52" s="52"/>
      <c r="E52" s="59" t="s">
        <v>28</v>
      </c>
      <c r="F52" s="71">
        <v>46164</v>
      </c>
      <c r="G52" s="71">
        <v>46164</v>
      </c>
      <c r="H52" s="72">
        <v>46165</v>
      </c>
      <c r="I52" s="45">
        <v>5</v>
      </c>
      <c r="J52" s="26">
        <v>40000</v>
      </c>
      <c r="K52" s="46">
        <f t="shared" si="4"/>
        <v>200000</v>
      </c>
      <c r="L52" s="45">
        <v>2</v>
      </c>
      <c r="M52" s="90">
        <v>2000</v>
      </c>
      <c r="N52" s="46">
        <f>L52*M52</f>
        <v>4000</v>
      </c>
      <c r="O52" s="27">
        <v>0</v>
      </c>
      <c r="P52" s="27">
        <v>30000</v>
      </c>
      <c r="Q52" s="47">
        <v>0</v>
      </c>
      <c r="R52" s="26">
        <v>200000</v>
      </c>
      <c r="S52" s="48">
        <f t="shared" si="2"/>
        <v>234000</v>
      </c>
      <c r="T52" s="49">
        <f t="shared" si="3"/>
        <v>34000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s="8" customFormat="1" ht="30.75" customHeight="1">
      <c r="A53" s="7"/>
      <c r="B53" s="55" t="s">
        <v>79</v>
      </c>
      <c r="C53" s="55"/>
      <c r="D53" s="55"/>
      <c r="E53" s="55"/>
      <c r="F53" s="68">
        <v>46168</v>
      </c>
      <c r="G53" s="68">
        <v>46168</v>
      </c>
      <c r="H53" s="68">
        <v>46171</v>
      </c>
      <c r="I53" s="55">
        <f t="shared" ref="I53:N53" si="15">SUM(I54:I56)</f>
        <v>8</v>
      </c>
      <c r="J53" s="78">
        <f t="shared" si="15"/>
        <v>30000</v>
      </c>
      <c r="K53" s="79">
        <f t="shared" si="15"/>
        <v>80000</v>
      </c>
      <c r="L53" s="55">
        <f t="shared" si="15"/>
        <v>3</v>
      </c>
      <c r="M53" s="78">
        <f t="shared" si="15"/>
        <v>6000</v>
      </c>
      <c r="N53" s="79">
        <f t="shared" si="15"/>
        <v>6000</v>
      </c>
      <c r="O53" s="79">
        <f>O52</f>
        <v>0</v>
      </c>
      <c r="P53" s="79">
        <f>SUM(P54:P56)</f>
        <v>2000</v>
      </c>
      <c r="Q53" s="79">
        <f>SUM(Q54:Q56)</f>
        <v>0</v>
      </c>
      <c r="R53" s="79">
        <f>SUM(R54:R56)</f>
        <v>130000</v>
      </c>
      <c r="S53" s="48">
        <f t="shared" si="2"/>
        <v>88000</v>
      </c>
      <c r="T53" s="49">
        <f t="shared" si="3"/>
        <v>-42000</v>
      </c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s="8" customFormat="1" ht="30.75" customHeight="1">
      <c r="A54" s="7"/>
      <c r="B54" s="52" t="s">
        <v>80</v>
      </c>
      <c r="C54" s="52" t="s">
        <v>80</v>
      </c>
      <c r="D54" s="52"/>
      <c r="E54" s="59" t="s">
        <v>28</v>
      </c>
      <c r="F54" s="71">
        <v>46168</v>
      </c>
      <c r="G54" s="71">
        <v>46168</v>
      </c>
      <c r="H54" s="72">
        <v>46169</v>
      </c>
      <c r="I54" s="45">
        <v>2</v>
      </c>
      <c r="J54" s="26">
        <v>10000</v>
      </c>
      <c r="K54" s="46">
        <f t="shared" si="4"/>
        <v>20000</v>
      </c>
      <c r="L54" s="45">
        <v>1</v>
      </c>
      <c r="M54" s="90">
        <v>500</v>
      </c>
      <c r="N54" s="46">
        <f>L54*M54</f>
        <v>500</v>
      </c>
      <c r="O54" s="27">
        <v>20000</v>
      </c>
      <c r="P54" s="27">
        <v>0</v>
      </c>
      <c r="Q54" s="47">
        <v>0</v>
      </c>
      <c r="R54" s="26">
        <v>50000</v>
      </c>
      <c r="S54" s="48">
        <f t="shared" si="2"/>
        <v>40500</v>
      </c>
      <c r="T54" s="49">
        <f t="shared" si="3"/>
        <v>-9500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s="8" customFormat="1" ht="30.75" customHeight="1">
      <c r="A55" s="7"/>
      <c r="B55" s="52" t="s">
        <v>81</v>
      </c>
      <c r="C55" s="52" t="s">
        <v>81</v>
      </c>
      <c r="D55" s="52"/>
      <c r="E55" s="59" t="s">
        <v>28</v>
      </c>
      <c r="F55" s="71">
        <v>46169</v>
      </c>
      <c r="G55" s="71">
        <v>46169</v>
      </c>
      <c r="H55" s="72">
        <v>46170</v>
      </c>
      <c r="I55" s="45">
        <v>5</v>
      </c>
      <c r="J55" s="26">
        <v>10000</v>
      </c>
      <c r="K55" s="46">
        <f t="shared" si="4"/>
        <v>50000</v>
      </c>
      <c r="L55" s="45">
        <v>1</v>
      </c>
      <c r="M55" s="90">
        <v>500</v>
      </c>
      <c r="N55" s="46">
        <f>L55*M55</f>
        <v>500</v>
      </c>
      <c r="O55" s="27">
        <v>0</v>
      </c>
      <c r="P55" s="27">
        <v>1000</v>
      </c>
      <c r="Q55" s="47">
        <v>0</v>
      </c>
      <c r="R55" s="26">
        <v>50000</v>
      </c>
      <c r="S55" s="48">
        <f t="shared" si="2"/>
        <v>51500</v>
      </c>
      <c r="T55" s="49">
        <f t="shared" si="3"/>
        <v>1500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s="8" customFormat="1" ht="30" customHeight="1">
      <c r="A56" s="7"/>
      <c r="B56" s="52" t="s">
        <v>82</v>
      </c>
      <c r="C56" s="52" t="s">
        <v>82</v>
      </c>
      <c r="D56" s="52"/>
      <c r="E56" s="59" t="s">
        <v>28</v>
      </c>
      <c r="F56" s="71">
        <v>46170</v>
      </c>
      <c r="G56" s="71">
        <v>46170</v>
      </c>
      <c r="H56" s="72">
        <v>46171</v>
      </c>
      <c r="I56" s="45">
        <v>1</v>
      </c>
      <c r="J56" s="26">
        <v>10000</v>
      </c>
      <c r="K56" s="46">
        <f t="shared" si="4"/>
        <v>10000</v>
      </c>
      <c r="L56" s="45">
        <v>1</v>
      </c>
      <c r="M56" s="90">
        <v>5000</v>
      </c>
      <c r="N56" s="46">
        <f>L56*M56</f>
        <v>5000</v>
      </c>
      <c r="O56" s="27">
        <v>0</v>
      </c>
      <c r="P56" s="27">
        <v>1000</v>
      </c>
      <c r="Q56" s="47">
        <v>0</v>
      </c>
      <c r="R56" s="26">
        <v>30000</v>
      </c>
      <c r="S56" s="48">
        <f t="shared" si="2"/>
        <v>16000</v>
      </c>
      <c r="T56" s="49">
        <f t="shared" si="3"/>
        <v>-14000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s="8" customFormat="1" ht="30" customHeight="1">
      <c r="A57" s="7"/>
      <c r="B57" s="16" t="s">
        <v>83</v>
      </c>
      <c r="C57" s="16"/>
      <c r="D57" s="16"/>
      <c r="E57" s="22"/>
      <c r="F57" s="17"/>
      <c r="G57" s="17"/>
      <c r="H57" s="37"/>
      <c r="I57" s="30"/>
      <c r="J57" s="23"/>
      <c r="K57" s="88">
        <f>SUM(K5,K17,K24,K28,K32,K37,K39,K44,K51,K53)</f>
        <v>6440000</v>
      </c>
      <c r="L57" s="88"/>
      <c r="M57" s="88">
        <f>SUM(M5,M17,M24,M28,M32,M37,M39,M44,M51,M53)</f>
        <v>250000</v>
      </c>
      <c r="N57" s="88">
        <f>SUM(N5,N17,N24,N28,N32,N37,N39,N44,N51,N53)</f>
        <v>517000</v>
      </c>
      <c r="O57" s="88">
        <f>SUM(O5,O17,O24,O28,O32,O37,O39,O44,O51,O53)</f>
        <v>20000</v>
      </c>
      <c r="P57" s="88">
        <f>SUM(P5,P17,P24,P28,P32,P37,P39,P44,P51,P53)</f>
        <v>402000</v>
      </c>
      <c r="Q57" s="88">
        <f>SUM(Q5,Q17,Q24,Q28,Q32,Q37,Q39,Q44,Q51,Q53)</f>
        <v>20000</v>
      </c>
      <c r="R57" s="88">
        <f>SUM(R5,R17,R24,R28,R32,R37,R39,R44,R51,R53)</f>
        <v>7340000</v>
      </c>
      <c r="S57" s="32">
        <f>SUM(K57:Q57)</f>
        <v>7649000</v>
      </c>
      <c r="T57" s="32">
        <f>S57-R57</f>
        <v>309000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s="8" customFormat="1" ht="20.25" customHeight="1">
      <c r="A58" s="7"/>
      <c r="B58" s="9"/>
      <c r="C58" s="9"/>
      <c r="D58" s="9"/>
      <c r="E58" s="9"/>
      <c r="F58" s="9"/>
      <c r="G58" s="9"/>
      <c r="H58" s="9"/>
      <c r="I58" s="10"/>
      <c r="J58" s="11"/>
      <c r="K58" s="11"/>
      <c r="L58" s="10"/>
      <c r="M58" s="11"/>
      <c r="N58" s="11"/>
      <c r="O58" s="10"/>
      <c r="P58" s="10"/>
      <c r="Q58" s="11"/>
      <c r="R58" s="12"/>
      <c r="S58" s="11"/>
      <c r="T58" s="13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s="3" customFormat="1" ht="18" customHeight="1">
      <c r="B59" s="5"/>
      <c r="C59" s="5"/>
      <c r="D59" s="5"/>
      <c r="E59" s="5"/>
      <c r="F59" s="5"/>
      <c r="G59" s="5"/>
      <c r="H59" s="5"/>
      <c r="I59" s="1"/>
      <c r="J59" s="2"/>
      <c r="K59" s="2"/>
      <c r="L59" s="1"/>
      <c r="M59" s="2"/>
      <c r="N59" s="2"/>
      <c r="O59" s="1"/>
      <c r="P59" s="1"/>
      <c r="Q59" s="2"/>
      <c r="R59" s="94" t="s">
        <v>84</v>
      </c>
      <c r="S59" s="93">
        <f>S57</f>
        <v>7649000</v>
      </c>
    </row>
    <row r="60" spans="1:4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95" t="s">
        <v>85</v>
      </c>
      <c r="S60" s="96">
        <v>5000000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95" t="s">
        <v>86</v>
      </c>
      <c r="S61" s="97">
        <f>SUM(S59:S60)</f>
        <v>12649000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4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4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4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4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4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4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4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</sheetData>
  <mergeCells count="4">
    <mergeCell ref="I2:K2"/>
    <mergeCell ref="L2:N2"/>
    <mergeCell ref="O2:Q2"/>
    <mergeCell ref="R2:T2"/>
  </mergeCells>
  <conditionalFormatting sqref="E4">
    <cfRule type="containsText" dxfId="201" priority="93" operator="containsText" text="Approved">
      <formula>NOT(ISERROR(SEARCH("Approved",E4)))</formula>
    </cfRule>
    <cfRule type="containsText" dxfId="200" priority="94" operator="containsText" text="Needs Review">
      <formula>NOT(ISERROR(SEARCH("Needs Review",E4)))</formula>
    </cfRule>
    <cfRule type="containsText" dxfId="199" priority="95" operator="containsText" text="Not Started">
      <formula>NOT(ISERROR(SEARCH("Not Started",E4)))</formula>
    </cfRule>
    <cfRule type="containsText" dxfId="198" priority="96" operator="containsText" text="On Hold">
      <formula>NOT(ISERROR(SEARCH("On Hold",E4)))</formula>
    </cfRule>
    <cfRule type="containsText" dxfId="197" priority="97" operator="containsText" text="Overdue">
      <formula>NOT(ISERROR(SEARCH("Overdue",E4)))</formula>
    </cfRule>
    <cfRule type="containsText" dxfId="196" priority="98" operator="containsText" text="Complete">
      <formula>NOT(ISERROR(SEARCH("Complete",E4)))</formula>
    </cfRule>
    <cfRule type="containsText" dxfId="195" priority="99" operator="containsText" text="In Progress">
      <formula>NOT(ISERROR(SEARCH("In Progress",E4)))</formula>
    </cfRule>
  </conditionalFormatting>
  <conditionalFormatting sqref="T5:T57">
    <cfRule type="cellIs" dxfId="194" priority="100" operator="lessThan">
      <formula>0</formula>
    </cfRule>
    <cfRule type="cellIs" dxfId="193" priority="101" operator="greaterThan">
      <formula>0</formula>
    </cfRule>
  </conditionalFormatting>
  <conditionalFormatting sqref="T58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 T24 T28 T32 T37 T39 T44 T51 T53 E17:J17 E24:J24 E28:J28 E32:J32 E37:J37 E39:J39 E44:J44 E51:J51 E53:J53 O17:R17 O24:R24 O28:R28 O32:R32 O37:R37 O39:R39 O44:R44 O51:R51 O53:R53 E6:E16 E18:E23 E25:E27 E29:E31 E33:E36 E38 E40:E43 E45:E50 E52 E54:E56">
    <cfRule type="containsText" dxfId="192" priority="89" operator="containsText" text="On Hold">
      <formula>NOT(ISERROR(SEARCH("On Hold",E6)))</formula>
    </cfRule>
    <cfRule type="containsText" dxfId="191" priority="90" operator="containsText" text="Complete">
      <formula>NOT(ISERROR(SEARCH("Complete",E6)))</formula>
    </cfRule>
    <cfRule type="containsText" dxfId="190" priority="91" operator="containsText" text="In Progress">
      <formula>NOT(ISERROR(SEARCH("In Progress",E6)))</formula>
    </cfRule>
    <cfRule type="containsText" dxfId="189" priority="92" operator="containsText" text="Not Started">
      <formula>NOT(ISERROR(SEARCH("Not Started",E6)))</formula>
    </cfRule>
  </conditionalFormatting>
  <conditionalFormatting sqref="E6:E16">
    <cfRule type="cellIs" dxfId="188" priority="88" operator="equal">
      <formula>"Completo"</formula>
    </cfRule>
  </conditionalFormatting>
  <conditionalFormatting sqref="E6:E16">
    <cfRule type="cellIs" dxfId="187" priority="85" operator="equal">
      <formula>"En Espera"</formula>
    </cfRule>
    <cfRule type="cellIs" dxfId="186" priority="86" operator="equal">
      <formula>"En Progreso"</formula>
    </cfRule>
    <cfRule type="cellIs" dxfId="185" priority="87" operator="equal">
      <formula>"No Iniciado"</formula>
    </cfRule>
  </conditionalFormatting>
  <conditionalFormatting sqref="T17 E17:J17 O17:R17 E13:E16 E18:E23">
    <cfRule type="cellIs" dxfId="184" priority="84" operator="equal">
      <formula>"Completo"</formula>
    </cfRule>
  </conditionalFormatting>
  <conditionalFormatting sqref="T17 E17:J17 O17:R17 E13:E16 E18:E23">
    <cfRule type="cellIs" dxfId="183" priority="81" operator="equal">
      <formula>"En Espera"</formula>
    </cfRule>
    <cfRule type="cellIs" dxfId="182" priority="82" operator="equal">
      <formula>"En Progreso"</formula>
    </cfRule>
    <cfRule type="cellIs" dxfId="181" priority="83" operator="equal">
      <formula>"No Iniciado"</formula>
    </cfRule>
  </conditionalFormatting>
  <conditionalFormatting sqref="E25:E27">
    <cfRule type="cellIs" dxfId="180" priority="80" operator="equal">
      <formula>"Completo"</formula>
    </cfRule>
  </conditionalFormatting>
  <conditionalFormatting sqref="E25:E27">
    <cfRule type="cellIs" dxfId="179" priority="77" operator="equal">
      <formula>"En Espera"</formula>
    </cfRule>
    <cfRule type="cellIs" dxfId="178" priority="78" operator="equal">
      <formula>"En Progreso"</formula>
    </cfRule>
    <cfRule type="cellIs" dxfId="177" priority="79" operator="equal">
      <formula>"No Iniciado"</formula>
    </cfRule>
  </conditionalFormatting>
  <conditionalFormatting sqref="E29:E31 E38 E52 E54:E56 E33:E36 E40:E43 E45:E50">
    <cfRule type="cellIs" dxfId="176" priority="76" operator="equal">
      <formula>"Completo"</formula>
    </cfRule>
  </conditionalFormatting>
  <conditionalFormatting sqref="E29:E31 E38 E52 E54:E56 E33:E36 E40:E43 E45:E50">
    <cfRule type="cellIs" dxfId="175" priority="73" operator="equal">
      <formula>"En Espera"</formula>
    </cfRule>
    <cfRule type="cellIs" dxfId="174" priority="74" operator="equal">
      <formula>"En Progreso"</formula>
    </cfRule>
    <cfRule type="cellIs" dxfId="173" priority="75" operator="equal">
      <formula>"No Iniciado"</formula>
    </cfRule>
  </conditionalFormatting>
  <conditionalFormatting sqref="T37 E37:J37 O37:R37">
    <cfRule type="cellIs" dxfId="172" priority="72" operator="equal">
      <formula>"Completo"</formula>
    </cfRule>
  </conditionalFormatting>
  <conditionalFormatting sqref="T37 E37:J37 O37:R37">
    <cfRule type="cellIs" dxfId="171" priority="69" operator="equal">
      <formula>"En Espera"</formula>
    </cfRule>
    <cfRule type="cellIs" dxfId="170" priority="70" operator="equal">
      <formula>"En Progreso"</formula>
    </cfRule>
    <cfRule type="cellIs" dxfId="169" priority="71" operator="equal">
      <formula>"No Iniciado"</formula>
    </cfRule>
  </conditionalFormatting>
  <conditionalFormatting sqref="T53 E53:J53 O53:R53">
    <cfRule type="cellIs" dxfId="168" priority="68" operator="equal">
      <formula>"Completo"</formula>
    </cfRule>
  </conditionalFormatting>
  <conditionalFormatting sqref="T53 E53:J53 O53:R53">
    <cfRule type="cellIs" dxfId="167" priority="65" operator="equal">
      <formula>"En Espera"</formula>
    </cfRule>
    <cfRule type="cellIs" dxfId="166" priority="66" operator="equal">
      <formula>"En Progreso"</formula>
    </cfRule>
    <cfRule type="cellIs" dxfId="165" priority="67" operator="equal">
      <formula>"No Iniciado"</formula>
    </cfRule>
  </conditionalFormatting>
  <conditionalFormatting sqref="W5:W8">
    <cfRule type="containsText" dxfId="164" priority="61" stopIfTrue="1" operator="containsText" text="On Hold">
      <formula>NOT(ISERROR(SEARCH("On Hold",W5)))</formula>
    </cfRule>
    <cfRule type="containsText" dxfId="163" priority="62" operator="containsText" text="Complete">
      <formula>NOT(ISERROR(SEARCH("Complete",W5)))</formula>
    </cfRule>
    <cfRule type="containsText" dxfId="162" priority="63" operator="containsText" text="In Progress">
      <formula>NOT(ISERROR(SEARCH("In Progress",W5)))</formula>
    </cfRule>
    <cfRule type="containsText" dxfId="161" priority="64" operator="containsText" text="Not Started">
      <formula>NOT(ISERROR(SEARCH("Not Started",W5)))</formula>
    </cfRule>
  </conditionalFormatting>
  <conditionalFormatting sqref="L17:N17">
    <cfRule type="cellIs" dxfId="160" priority="53" operator="equal">
      <formula>"En Espera"</formula>
    </cfRule>
    <cfRule type="cellIs" dxfId="159" priority="54" operator="equal">
      <formula>"En Progreso"</formula>
    </cfRule>
    <cfRule type="cellIs" dxfId="158" priority="55" operator="equal">
      <formula>"No Iniciado"</formula>
    </cfRule>
    <cfRule type="cellIs" dxfId="157" priority="56" operator="equal">
      <formula>"Completo"</formula>
    </cfRule>
  </conditionalFormatting>
  <conditionalFormatting sqref="L17:N17 L24:M24 L28:M28 L32:M32 L37:M37 L39:M39 L44:M44 L51:M51 L53:M53">
    <cfRule type="containsText" dxfId="156" priority="58" operator="containsText" text="Complete">
      <formula>NOT(ISERROR(SEARCH("Complete",L17)))</formula>
    </cfRule>
    <cfRule type="containsText" dxfId="155" priority="59" operator="containsText" text="In Progress">
      <formula>NOT(ISERROR(SEARCH("In Progress",L17)))</formula>
    </cfRule>
    <cfRule type="containsText" dxfId="154" priority="60" operator="containsText" text="Not Started">
      <formula>NOT(ISERROR(SEARCH("Not Started",L17)))</formula>
    </cfRule>
  </conditionalFormatting>
  <conditionalFormatting sqref="L17:N17 L37:M37 L53:M53 L24:M24 L28:M28 L32:M32 L39:M39 L44:M44 L51:M51">
    <cfRule type="containsText" dxfId="153" priority="57" operator="containsText" text="On Hold">
      <formula>NOT(ISERROR(SEARCH("On Hold",L17)))</formula>
    </cfRule>
  </conditionalFormatting>
  <conditionalFormatting sqref="L37:M37">
    <cfRule type="cellIs" dxfId="152" priority="49" operator="equal">
      <formula>"En Espera"</formula>
    </cfRule>
    <cfRule type="cellIs" dxfId="151" priority="50" operator="equal">
      <formula>"En Progreso"</formula>
    </cfRule>
    <cfRule type="cellIs" dxfId="150" priority="51" operator="equal">
      <formula>"No Iniciado"</formula>
    </cfRule>
    <cfRule type="cellIs" dxfId="149" priority="52" operator="equal">
      <formula>"Completo"</formula>
    </cfRule>
  </conditionalFormatting>
  <conditionalFormatting sqref="L53:M53">
    <cfRule type="cellIs" dxfId="148" priority="45" operator="equal">
      <formula>"En Espera"</formula>
    </cfRule>
    <cfRule type="cellIs" dxfId="147" priority="46" operator="equal">
      <formula>"En Progreso"</formula>
    </cfRule>
    <cfRule type="cellIs" dxfId="146" priority="47" operator="equal">
      <formula>"No Iniciado"</formula>
    </cfRule>
    <cfRule type="cellIs" dxfId="145" priority="48" operator="equal">
      <formula>"Completo"</formula>
    </cfRule>
  </conditionalFormatting>
  <conditionalFormatting sqref="E18">
    <cfRule type="cellIs" dxfId="144" priority="44" operator="equal">
      <formula>"Completo"</formula>
    </cfRule>
  </conditionalFormatting>
  <conditionalFormatting sqref="E18">
    <cfRule type="cellIs" dxfId="143" priority="41" operator="equal">
      <formula>"En Espera"</formula>
    </cfRule>
    <cfRule type="cellIs" dxfId="142" priority="42" operator="equal">
      <formula>"En Progreso"</formula>
    </cfRule>
    <cfRule type="cellIs" dxfId="141" priority="43" operator="equal">
      <formula>"No Iniciado"</formula>
    </cfRule>
  </conditionalFormatting>
  <conditionalFormatting sqref="E19">
    <cfRule type="cellIs" dxfId="140" priority="40" operator="equal">
      <formula>"Completo"</formula>
    </cfRule>
  </conditionalFormatting>
  <conditionalFormatting sqref="E19">
    <cfRule type="cellIs" dxfId="139" priority="37" operator="equal">
      <formula>"En Espera"</formula>
    </cfRule>
    <cfRule type="cellIs" dxfId="138" priority="38" operator="equal">
      <formula>"En Progreso"</formula>
    </cfRule>
    <cfRule type="cellIs" dxfId="137" priority="39" operator="equal">
      <formula>"No Iniciado"</formula>
    </cfRule>
  </conditionalFormatting>
  <conditionalFormatting sqref="E20">
    <cfRule type="cellIs" dxfId="136" priority="36" operator="equal">
      <formula>"Completo"</formula>
    </cfRule>
  </conditionalFormatting>
  <conditionalFormatting sqref="E20">
    <cfRule type="cellIs" dxfId="135" priority="33" operator="equal">
      <formula>"En Espera"</formula>
    </cfRule>
    <cfRule type="cellIs" dxfId="134" priority="34" operator="equal">
      <formula>"En Progreso"</formula>
    </cfRule>
    <cfRule type="cellIs" dxfId="133" priority="35" operator="equal">
      <formula>"No Iniciado"</formula>
    </cfRule>
  </conditionalFormatting>
  <conditionalFormatting sqref="E21">
    <cfRule type="cellIs" dxfId="132" priority="32" operator="equal">
      <formula>"Completo"</formula>
    </cfRule>
  </conditionalFormatting>
  <conditionalFormatting sqref="E21">
    <cfRule type="cellIs" dxfId="131" priority="29" operator="equal">
      <formula>"En Espera"</formula>
    </cfRule>
    <cfRule type="cellIs" dxfId="130" priority="30" operator="equal">
      <formula>"En Progreso"</formula>
    </cfRule>
    <cfRule type="cellIs" dxfId="129" priority="31" operator="equal">
      <formula>"No Iniciado"</formula>
    </cfRule>
  </conditionalFormatting>
  <conditionalFormatting sqref="E22:E23">
    <cfRule type="cellIs" dxfId="128" priority="28" operator="equal">
      <formula>"Completo"</formula>
    </cfRule>
  </conditionalFormatting>
  <conditionalFormatting sqref="E22:E23">
    <cfRule type="cellIs" dxfId="127" priority="25" operator="equal">
      <formula>"En Espera"</formula>
    </cfRule>
    <cfRule type="cellIs" dxfId="126" priority="26" operator="equal">
      <formula>"En Progreso"</formula>
    </cfRule>
    <cfRule type="cellIs" dxfId="125" priority="27" operator="equal">
      <formula>"No Iniciado"</formula>
    </cfRule>
  </conditionalFormatting>
  <conditionalFormatting sqref="E25:E27">
    <cfRule type="cellIs" dxfId="124" priority="24" operator="equal">
      <formula>"Completo"</formula>
    </cfRule>
  </conditionalFormatting>
  <conditionalFormatting sqref="E25:E27">
    <cfRule type="cellIs" dxfId="123" priority="21" operator="equal">
      <formula>"En Espera"</formula>
    </cfRule>
    <cfRule type="cellIs" dxfId="122" priority="22" operator="equal">
      <formula>"En Progreso"</formula>
    </cfRule>
    <cfRule type="cellIs" dxfId="121" priority="23" operator="equal">
      <formula>"No Iniciado"</formula>
    </cfRule>
  </conditionalFormatting>
  <conditionalFormatting sqref="E25:E27">
    <cfRule type="cellIs" dxfId="120" priority="20" operator="equal">
      <formula>"Completo"</formula>
    </cfRule>
  </conditionalFormatting>
  <conditionalFormatting sqref="E25:E27">
    <cfRule type="cellIs" dxfId="119" priority="17" operator="equal">
      <formula>"En Espera"</formula>
    </cfRule>
    <cfRule type="cellIs" dxfId="118" priority="18" operator="equal">
      <formula>"En Progreso"</formula>
    </cfRule>
    <cfRule type="cellIs" dxfId="117" priority="19" operator="equal">
      <formula>"No Iniciado"</formula>
    </cfRule>
  </conditionalFormatting>
  <conditionalFormatting sqref="E29:E31">
    <cfRule type="cellIs" dxfId="116" priority="16" operator="equal">
      <formula>"Completo"</formula>
    </cfRule>
  </conditionalFormatting>
  <conditionalFormatting sqref="E29:E31">
    <cfRule type="cellIs" dxfId="115" priority="13" operator="equal">
      <formula>"En Espera"</formula>
    </cfRule>
    <cfRule type="cellIs" dxfId="114" priority="14" operator="equal">
      <formula>"En Progreso"</formula>
    </cfRule>
    <cfRule type="cellIs" dxfId="113" priority="15" operator="equal">
      <formula>"No Iniciado"</formula>
    </cfRule>
  </conditionalFormatting>
  <conditionalFormatting sqref="E29:E31">
    <cfRule type="cellIs" dxfId="112" priority="12" operator="equal">
      <formula>"Completo"</formula>
    </cfRule>
  </conditionalFormatting>
  <conditionalFormatting sqref="E29:E31">
    <cfRule type="cellIs" dxfId="111" priority="9" operator="equal">
      <formula>"En Espera"</formula>
    </cfRule>
    <cfRule type="cellIs" dxfId="110" priority="10" operator="equal">
      <formula>"En Progreso"</formula>
    </cfRule>
    <cfRule type="cellIs" dxfId="109" priority="11" operator="equal">
      <formula>"No Iniciado"</formula>
    </cfRule>
  </conditionalFormatting>
  <conditionalFormatting sqref="E38">
    <cfRule type="cellIs" dxfId="108" priority="8" operator="equal">
      <formula>"Completo"</formula>
    </cfRule>
  </conditionalFormatting>
  <conditionalFormatting sqref="E38">
    <cfRule type="cellIs" dxfId="107" priority="5" operator="equal">
      <formula>"En Espera"</formula>
    </cfRule>
    <cfRule type="cellIs" dxfId="106" priority="6" operator="equal">
      <formula>"En Progreso"</formula>
    </cfRule>
    <cfRule type="cellIs" dxfId="105" priority="7" operator="equal">
      <formula>"No Iniciado"</formula>
    </cfRule>
  </conditionalFormatting>
  <conditionalFormatting sqref="E38">
    <cfRule type="cellIs" dxfId="104" priority="4" operator="equal">
      <formula>"Completo"</formula>
    </cfRule>
  </conditionalFormatting>
  <conditionalFormatting sqref="E38">
    <cfRule type="cellIs" dxfId="103" priority="1" operator="equal">
      <formula>"En Espera"</formula>
    </cfRule>
    <cfRule type="cellIs" dxfId="102" priority="2" operator="equal">
      <formula>"En Progreso"</formula>
    </cfRule>
    <cfRule type="cellIs" dxfId="101" priority="3" operator="equal">
      <formula>"No Iniciado"</formula>
    </cfRule>
  </conditionalFormatting>
  <dataValidations count="2">
    <dataValidation type="list" allowBlank="1" showInputMessage="1" showErrorMessage="1" sqref="E4" xr:uid="{529E1CF1-0211-4D11-8980-AA2E0E86EE2F}">
      <formula1>#REF!</formula1>
    </dataValidation>
    <dataValidation type="list" allowBlank="1" showInputMessage="1" showErrorMessage="1" sqref="E6:E16 E33:E36 E52 E18:E23 E40:E43 E25:E27 E45:E50 E54:E56 E29:E31 E38" xr:uid="{6C949BB6-F53B-4D1A-BCA9-1F675265BF2D}">
      <formula1>$L$8:$L$11</formula1>
    </dataValidation>
  </dataValidations>
  <pageMargins left="0.3" right="0.3" top="0.3" bottom="0.3" header="0" footer="0"/>
  <pageSetup scale="63" fitToHeight="0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P447"/>
  <sheetViews>
    <sheetView showGridLines="0" topLeftCell="K54" zoomScale="70" zoomScaleNormal="70" workbookViewId="0">
      <selection activeCell="E39" sqref="E39"/>
    </sheetView>
  </sheetViews>
  <sheetFormatPr defaultColWidth="11" defaultRowHeight="13.5"/>
  <cols>
    <col min="1" max="1" width="3.125" style="4" customWidth="1"/>
    <col min="2" max="2" width="46" style="4" customWidth="1"/>
    <col min="3" max="4" width="20.875" style="4" customWidth="1"/>
    <col min="5" max="5" width="12.875" style="4" customWidth="1"/>
    <col min="6" max="6" width="14" style="4" customWidth="1"/>
    <col min="7" max="8" width="11.625" style="4" customWidth="1"/>
    <col min="9" max="9" width="13" style="4" customWidth="1"/>
    <col min="10" max="10" width="15.75" style="4" customWidth="1"/>
    <col min="11" max="11" width="16.875" style="4" customWidth="1"/>
    <col min="12" max="12" width="13" style="4" customWidth="1"/>
    <col min="13" max="13" width="16.5" style="4" customWidth="1"/>
    <col min="14" max="14" width="20.625" style="4" customWidth="1"/>
    <col min="15" max="15" width="11.875" style="4" customWidth="1"/>
    <col min="16" max="16" width="14.625" style="4" customWidth="1"/>
    <col min="17" max="17" width="17.75" style="4" customWidth="1"/>
    <col min="18" max="18" width="19.75" style="4" customWidth="1"/>
    <col min="19" max="19" width="22.5" style="4" customWidth="1"/>
    <col min="20" max="20" width="19.125" style="4" customWidth="1"/>
    <col min="21" max="21" width="3.125" style="4" customWidth="1"/>
    <col min="22" max="16384" width="11" style="4"/>
  </cols>
  <sheetData>
    <row r="1" spans="1:42" ht="45" customHeight="1">
      <c r="A1" s="3"/>
      <c r="B1" s="19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6"/>
      <c r="Q1" s="6"/>
      <c r="R1" s="6"/>
      <c r="S1" s="6"/>
      <c r="T1" s="6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8" customFormat="1" ht="70.5" customHeight="1">
      <c r="A2" s="7"/>
      <c r="B2" s="24" t="s">
        <v>1</v>
      </c>
      <c r="C2" s="50" t="s">
        <v>2</v>
      </c>
      <c r="D2" s="50"/>
      <c r="E2" s="24"/>
      <c r="F2" s="24"/>
      <c r="G2" s="24"/>
      <c r="H2" s="35"/>
      <c r="I2" s="101" t="s">
        <v>3</v>
      </c>
      <c r="J2" s="102"/>
      <c r="K2" s="102"/>
      <c r="L2" s="102" t="s">
        <v>4</v>
      </c>
      <c r="M2" s="102"/>
      <c r="N2" s="102"/>
      <c r="O2" s="103" t="s">
        <v>5</v>
      </c>
      <c r="P2" s="104"/>
      <c r="Q2" s="105"/>
      <c r="R2" s="106" t="s">
        <v>6</v>
      </c>
      <c r="S2" s="104"/>
      <c r="T2" s="10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s="8" customFormat="1" ht="35.1" customHeight="1">
      <c r="A3" s="7"/>
      <c r="B3" s="20" t="s">
        <v>7</v>
      </c>
      <c r="C3" s="20" t="s">
        <v>8</v>
      </c>
      <c r="D3" s="20"/>
      <c r="E3" s="20" t="s">
        <v>9</v>
      </c>
      <c r="F3" s="14" t="s">
        <v>10</v>
      </c>
      <c r="G3" s="14" t="s">
        <v>11</v>
      </c>
      <c r="H3" s="36" t="s">
        <v>12</v>
      </c>
      <c r="I3" s="29" t="s">
        <v>13</v>
      </c>
      <c r="J3" s="15" t="s">
        <v>14</v>
      </c>
      <c r="K3" s="15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28" t="s">
        <v>21</v>
      </c>
      <c r="R3" s="34" t="s">
        <v>22</v>
      </c>
      <c r="S3" s="33" t="s">
        <v>23</v>
      </c>
      <c r="T3" s="31" t="s">
        <v>24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s="8" customFormat="1" ht="30" customHeight="1">
      <c r="A4" s="7"/>
      <c r="B4" s="21" t="s">
        <v>25</v>
      </c>
      <c r="C4" s="21"/>
      <c r="D4" s="21"/>
      <c r="E4" s="21"/>
      <c r="F4" s="38"/>
      <c r="G4" s="38"/>
      <c r="H4" s="39"/>
      <c r="I4" s="40"/>
      <c r="J4" s="41"/>
      <c r="K4" s="41"/>
      <c r="L4" s="41"/>
      <c r="M4" s="41"/>
      <c r="N4" s="41"/>
      <c r="O4" s="41"/>
      <c r="P4" s="41"/>
      <c r="Q4" s="42"/>
      <c r="R4" s="43"/>
      <c r="S4" s="44"/>
      <c r="T4" s="44"/>
      <c r="U4" s="7"/>
      <c r="V4" s="7"/>
      <c r="W4" s="60" t="s">
        <v>26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s="8" customFormat="1" ht="30" customHeight="1">
      <c r="A5" s="7"/>
      <c r="B5" s="65" t="s">
        <v>27</v>
      </c>
      <c r="C5" s="65"/>
      <c r="D5" s="65"/>
      <c r="E5" s="65"/>
      <c r="F5" s="66">
        <v>46060</v>
      </c>
      <c r="G5" s="66">
        <v>46060</v>
      </c>
      <c r="H5" s="67">
        <v>46081</v>
      </c>
      <c r="I5" s="74">
        <f t="shared" ref="I5:N5" si="0">SUM(I6:I16)</f>
        <v>14</v>
      </c>
      <c r="J5" s="91">
        <f t="shared" si="0"/>
        <v>110000</v>
      </c>
      <c r="K5" s="75">
        <f t="shared" si="0"/>
        <v>140000</v>
      </c>
      <c r="L5" s="74">
        <f t="shared" si="0"/>
        <v>11</v>
      </c>
      <c r="M5" s="91">
        <f t="shared" si="0"/>
        <v>5500</v>
      </c>
      <c r="N5" s="89">
        <f t="shared" si="0"/>
        <v>5500</v>
      </c>
      <c r="O5" s="89">
        <f>SUM(O6:O16)</f>
        <v>20000</v>
      </c>
      <c r="P5" s="89">
        <f>SUM(P6:P16)</f>
        <v>8000</v>
      </c>
      <c r="Q5" s="89">
        <f>SUM(Q6:Q16)</f>
        <v>11000</v>
      </c>
      <c r="R5" s="89">
        <f>SUM(R6:R16)</f>
        <v>200000</v>
      </c>
      <c r="S5" s="65"/>
      <c r="T5" s="65"/>
      <c r="U5" s="7"/>
      <c r="V5" s="7"/>
      <c r="W5" s="61" t="s">
        <v>28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s="8" customFormat="1" ht="30" customHeight="1">
      <c r="A6" s="7"/>
      <c r="B6" s="52" t="s">
        <v>29</v>
      </c>
      <c r="C6" s="52" t="s">
        <v>29</v>
      </c>
      <c r="D6" s="98"/>
      <c r="E6" s="58" t="s">
        <v>30</v>
      </c>
      <c r="F6" s="71">
        <v>46060</v>
      </c>
      <c r="G6" s="71">
        <v>46060</v>
      </c>
      <c r="H6" s="72">
        <v>46062</v>
      </c>
      <c r="I6" s="45">
        <v>1</v>
      </c>
      <c r="J6" s="26">
        <v>10000</v>
      </c>
      <c r="K6" s="46">
        <f>I6*J6</f>
        <v>10000</v>
      </c>
      <c r="L6" s="25">
        <v>1</v>
      </c>
      <c r="M6" s="90">
        <v>500</v>
      </c>
      <c r="N6" s="46">
        <f t="shared" ref="N6:N16" si="1">L6*M6</f>
        <v>500</v>
      </c>
      <c r="O6" s="27">
        <v>0</v>
      </c>
      <c r="P6" s="27">
        <v>0</v>
      </c>
      <c r="Q6" s="47">
        <v>1000</v>
      </c>
      <c r="R6" s="26">
        <v>15000</v>
      </c>
      <c r="S6" s="48">
        <f t="shared" ref="S6:S37" si="2">K6+N6+O6+P6+Q6</f>
        <v>11500</v>
      </c>
      <c r="T6" s="49">
        <f t="shared" ref="T6:T56" si="3">S6-R6</f>
        <v>-3500</v>
      </c>
      <c r="U6" s="7"/>
      <c r="V6" s="7"/>
      <c r="W6" s="62" t="s">
        <v>31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s="8" customFormat="1" ht="30" customHeight="1">
      <c r="A7" s="7"/>
      <c r="B7" s="53" t="s">
        <v>32</v>
      </c>
      <c r="C7" s="53" t="s">
        <v>32</v>
      </c>
      <c r="D7" s="99"/>
      <c r="E7" s="58" t="s">
        <v>30</v>
      </c>
      <c r="F7" s="71">
        <v>46062</v>
      </c>
      <c r="G7" s="71">
        <v>46062</v>
      </c>
      <c r="H7" s="72">
        <v>46064</v>
      </c>
      <c r="I7" s="45">
        <v>1</v>
      </c>
      <c r="J7" s="26">
        <v>10000</v>
      </c>
      <c r="K7" s="46">
        <f t="shared" ref="K7:K56" si="4">I7*J7</f>
        <v>10000</v>
      </c>
      <c r="L7" s="25">
        <v>1</v>
      </c>
      <c r="M7" s="90">
        <v>500</v>
      </c>
      <c r="N7" s="46">
        <f t="shared" si="1"/>
        <v>500</v>
      </c>
      <c r="O7" s="27">
        <v>0</v>
      </c>
      <c r="P7" s="27">
        <v>0</v>
      </c>
      <c r="Q7" s="47">
        <v>1000</v>
      </c>
      <c r="R7" s="26">
        <v>15000</v>
      </c>
      <c r="S7" s="48">
        <f t="shared" si="2"/>
        <v>11500</v>
      </c>
      <c r="T7" s="49">
        <f t="shared" si="3"/>
        <v>-3500</v>
      </c>
      <c r="U7" s="7"/>
      <c r="V7" s="7"/>
      <c r="W7" s="63" t="s">
        <v>30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s="8" customFormat="1" ht="30" customHeight="1">
      <c r="A8" s="7"/>
      <c r="B8" s="52" t="s">
        <v>33</v>
      </c>
      <c r="C8" s="52" t="s">
        <v>33</v>
      </c>
      <c r="D8" s="98"/>
      <c r="E8" s="58" t="s">
        <v>30</v>
      </c>
      <c r="F8" s="71">
        <v>46064</v>
      </c>
      <c r="G8" s="71">
        <v>46064</v>
      </c>
      <c r="H8" s="72">
        <v>46065</v>
      </c>
      <c r="I8" s="45">
        <v>1</v>
      </c>
      <c r="J8" s="26">
        <v>10000</v>
      </c>
      <c r="K8" s="46">
        <f t="shared" si="4"/>
        <v>10000</v>
      </c>
      <c r="L8" s="25">
        <v>1</v>
      </c>
      <c r="M8" s="90">
        <v>500</v>
      </c>
      <c r="N8" s="46">
        <f t="shared" si="1"/>
        <v>500</v>
      </c>
      <c r="O8" s="27">
        <v>0</v>
      </c>
      <c r="P8" s="27">
        <v>1000</v>
      </c>
      <c r="Q8" s="47">
        <v>1000</v>
      </c>
      <c r="R8" s="26">
        <v>15000</v>
      </c>
      <c r="S8" s="48">
        <f t="shared" si="2"/>
        <v>12500</v>
      </c>
      <c r="T8" s="49">
        <f t="shared" si="3"/>
        <v>-2500</v>
      </c>
      <c r="U8" s="7"/>
      <c r="V8" s="7"/>
      <c r="W8" s="64" t="s">
        <v>34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s="8" customFormat="1" ht="30" customHeight="1">
      <c r="A9" s="7"/>
      <c r="B9" s="52" t="s">
        <v>35</v>
      </c>
      <c r="C9" s="52" t="s">
        <v>35</v>
      </c>
      <c r="D9" s="98"/>
      <c r="E9" s="58" t="s">
        <v>30</v>
      </c>
      <c r="F9" s="71">
        <v>46065</v>
      </c>
      <c r="G9" s="71">
        <v>46065</v>
      </c>
      <c r="H9" s="72">
        <v>46066</v>
      </c>
      <c r="I9" s="45">
        <v>1</v>
      </c>
      <c r="J9" s="26">
        <v>10000</v>
      </c>
      <c r="K9" s="46">
        <f t="shared" si="4"/>
        <v>10000</v>
      </c>
      <c r="L9" s="25">
        <v>1</v>
      </c>
      <c r="M9" s="90">
        <v>500</v>
      </c>
      <c r="N9" s="46">
        <f t="shared" si="1"/>
        <v>500</v>
      </c>
      <c r="O9" s="27">
        <v>0</v>
      </c>
      <c r="P9" s="27">
        <v>1000</v>
      </c>
      <c r="Q9" s="47">
        <v>1000</v>
      </c>
      <c r="R9" s="26">
        <v>15000</v>
      </c>
      <c r="S9" s="48">
        <f t="shared" si="2"/>
        <v>12500</v>
      </c>
      <c r="T9" s="49">
        <f t="shared" si="3"/>
        <v>-2500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s="8" customFormat="1" ht="30" customHeight="1">
      <c r="A10" s="7"/>
      <c r="B10" s="52" t="s">
        <v>36</v>
      </c>
      <c r="C10" s="52" t="s">
        <v>36</v>
      </c>
      <c r="D10" s="98"/>
      <c r="E10" s="58" t="s">
        <v>30</v>
      </c>
      <c r="F10" s="71">
        <v>46066</v>
      </c>
      <c r="G10" s="71">
        <v>46066</v>
      </c>
      <c r="H10" s="72">
        <v>46067</v>
      </c>
      <c r="I10" s="45">
        <v>1</v>
      </c>
      <c r="J10" s="26">
        <v>10000</v>
      </c>
      <c r="K10" s="46">
        <f t="shared" si="4"/>
        <v>10000</v>
      </c>
      <c r="L10" s="25">
        <v>1</v>
      </c>
      <c r="M10" s="90">
        <v>500</v>
      </c>
      <c r="N10" s="46">
        <f t="shared" si="1"/>
        <v>500</v>
      </c>
      <c r="O10" s="27">
        <v>0</v>
      </c>
      <c r="P10" s="27">
        <v>1000</v>
      </c>
      <c r="Q10" s="47">
        <v>1000</v>
      </c>
      <c r="R10" s="26">
        <v>15000</v>
      </c>
      <c r="S10" s="48">
        <f t="shared" si="2"/>
        <v>12500</v>
      </c>
      <c r="T10" s="49">
        <f t="shared" si="3"/>
        <v>-2500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s="8" customFormat="1" ht="30" customHeight="1">
      <c r="A11" s="7"/>
      <c r="B11" s="52" t="s">
        <v>37</v>
      </c>
      <c r="C11" s="52" t="s">
        <v>37</v>
      </c>
      <c r="D11" s="98"/>
      <c r="E11" s="58" t="s">
        <v>30</v>
      </c>
      <c r="F11" s="71">
        <v>46067</v>
      </c>
      <c r="G11" s="71">
        <v>46067</v>
      </c>
      <c r="H11" s="72">
        <v>46071</v>
      </c>
      <c r="I11" s="45">
        <v>1</v>
      </c>
      <c r="J11" s="26">
        <v>10000</v>
      </c>
      <c r="K11" s="46">
        <f t="shared" si="4"/>
        <v>10000</v>
      </c>
      <c r="L11" s="25">
        <v>1</v>
      </c>
      <c r="M11" s="90">
        <v>500</v>
      </c>
      <c r="N11" s="46">
        <f t="shared" si="1"/>
        <v>500</v>
      </c>
      <c r="O11" s="27">
        <v>0</v>
      </c>
      <c r="P11" s="27">
        <v>1000</v>
      </c>
      <c r="Q11" s="47">
        <v>1000</v>
      </c>
      <c r="R11" s="26">
        <v>15000</v>
      </c>
      <c r="S11" s="48">
        <f t="shared" si="2"/>
        <v>12500</v>
      </c>
      <c r="T11" s="49">
        <f t="shared" si="3"/>
        <v>-2500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s="8" customFormat="1" ht="30" customHeight="1">
      <c r="A12" s="7"/>
      <c r="B12" s="54" t="s">
        <v>38</v>
      </c>
      <c r="C12" s="54" t="s">
        <v>38</v>
      </c>
      <c r="D12" s="100"/>
      <c r="E12" s="58" t="s">
        <v>30</v>
      </c>
      <c r="F12" s="71">
        <v>46071</v>
      </c>
      <c r="G12" s="71">
        <v>46071</v>
      </c>
      <c r="H12" s="72">
        <v>46074</v>
      </c>
      <c r="I12" s="45">
        <v>1</v>
      </c>
      <c r="J12" s="26">
        <v>10000</v>
      </c>
      <c r="K12" s="46">
        <f t="shared" si="4"/>
        <v>10000</v>
      </c>
      <c r="L12" s="25">
        <v>1</v>
      </c>
      <c r="M12" s="90">
        <v>500</v>
      </c>
      <c r="N12" s="46">
        <f t="shared" si="1"/>
        <v>500</v>
      </c>
      <c r="O12" s="27">
        <v>0</v>
      </c>
      <c r="P12" s="27">
        <v>1000</v>
      </c>
      <c r="Q12" s="47">
        <v>1000</v>
      </c>
      <c r="R12" s="26">
        <v>15000</v>
      </c>
      <c r="S12" s="48">
        <f t="shared" si="2"/>
        <v>12500</v>
      </c>
      <c r="T12" s="49">
        <f t="shared" si="3"/>
        <v>-2500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s="8" customFormat="1" ht="30" customHeight="1">
      <c r="A13" s="7"/>
      <c r="B13" s="52" t="s">
        <v>39</v>
      </c>
      <c r="C13" s="52" t="s">
        <v>39</v>
      </c>
      <c r="D13" s="98"/>
      <c r="E13" s="58" t="s">
        <v>30</v>
      </c>
      <c r="F13" s="71">
        <v>46074</v>
      </c>
      <c r="G13" s="71">
        <v>46074</v>
      </c>
      <c r="H13" s="72">
        <v>46076</v>
      </c>
      <c r="I13" s="45">
        <v>1</v>
      </c>
      <c r="J13" s="26">
        <v>10000</v>
      </c>
      <c r="K13" s="46">
        <f t="shared" si="4"/>
        <v>10000</v>
      </c>
      <c r="L13" s="25">
        <v>1</v>
      </c>
      <c r="M13" s="90">
        <v>500</v>
      </c>
      <c r="N13" s="46">
        <f t="shared" si="1"/>
        <v>500</v>
      </c>
      <c r="O13" s="27">
        <v>20000</v>
      </c>
      <c r="P13" s="27">
        <v>0</v>
      </c>
      <c r="Q13" s="47">
        <v>1000</v>
      </c>
      <c r="R13" s="26">
        <v>35000</v>
      </c>
      <c r="S13" s="48">
        <f t="shared" si="2"/>
        <v>31500</v>
      </c>
      <c r="T13" s="49">
        <f t="shared" si="3"/>
        <v>-3500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s="8" customFormat="1" ht="30" customHeight="1">
      <c r="A14" s="7"/>
      <c r="B14" s="52" t="s">
        <v>40</v>
      </c>
      <c r="C14" s="52" t="s">
        <v>40</v>
      </c>
      <c r="D14" s="98"/>
      <c r="E14" s="58" t="s">
        <v>30</v>
      </c>
      <c r="F14" s="71">
        <v>46076</v>
      </c>
      <c r="G14" s="71">
        <v>46076</v>
      </c>
      <c r="H14" s="72">
        <v>46078</v>
      </c>
      <c r="I14" s="45">
        <v>2</v>
      </c>
      <c r="J14" s="26">
        <v>10000</v>
      </c>
      <c r="K14" s="46">
        <f t="shared" si="4"/>
        <v>20000</v>
      </c>
      <c r="L14" s="25">
        <v>1</v>
      </c>
      <c r="M14" s="90">
        <v>500</v>
      </c>
      <c r="N14" s="46">
        <f t="shared" si="1"/>
        <v>500</v>
      </c>
      <c r="O14" s="27">
        <v>0</v>
      </c>
      <c r="P14" s="27">
        <v>1000</v>
      </c>
      <c r="Q14" s="47">
        <v>1000</v>
      </c>
      <c r="R14" s="26">
        <v>25000</v>
      </c>
      <c r="S14" s="48">
        <f t="shared" si="2"/>
        <v>22500</v>
      </c>
      <c r="T14" s="49">
        <f t="shared" si="3"/>
        <v>-2500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s="8" customFormat="1" ht="30" customHeight="1">
      <c r="A15" s="7"/>
      <c r="B15" s="52" t="s">
        <v>41</v>
      </c>
      <c r="C15" s="52" t="s">
        <v>41</v>
      </c>
      <c r="D15" s="98"/>
      <c r="E15" s="58" t="s">
        <v>30</v>
      </c>
      <c r="F15" s="71">
        <v>46078</v>
      </c>
      <c r="G15" s="71">
        <v>46078</v>
      </c>
      <c r="H15" s="72">
        <v>46079</v>
      </c>
      <c r="I15" s="45">
        <v>1</v>
      </c>
      <c r="J15" s="26">
        <v>10000</v>
      </c>
      <c r="K15" s="46">
        <f t="shared" si="4"/>
        <v>10000</v>
      </c>
      <c r="L15" s="25">
        <v>1</v>
      </c>
      <c r="M15" s="90">
        <v>500</v>
      </c>
      <c r="N15" s="46">
        <f t="shared" si="1"/>
        <v>500</v>
      </c>
      <c r="O15" s="27">
        <v>0</v>
      </c>
      <c r="P15" s="27">
        <v>1000</v>
      </c>
      <c r="Q15" s="47">
        <v>1000</v>
      </c>
      <c r="R15" s="26">
        <v>15000</v>
      </c>
      <c r="S15" s="48">
        <f t="shared" si="2"/>
        <v>12500</v>
      </c>
      <c r="T15" s="49">
        <f t="shared" si="3"/>
        <v>-2500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s="8" customFormat="1" ht="30" customHeight="1">
      <c r="A16" s="7"/>
      <c r="B16" s="52" t="s">
        <v>42</v>
      </c>
      <c r="C16" s="52" t="s">
        <v>42</v>
      </c>
      <c r="D16" s="98"/>
      <c r="E16" s="58" t="s">
        <v>30</v>
      </c>
      <c r="F16" s="71">
        <v>46079</v>
      </c>
      <c r="G16" s="71">
        <v>46079</v>
      </c>
      <c r="H16" s="72">
        <v>46081</v>
      </c>
      <c r="I16" s="45">
        <v>3</v>
      </c>
      <c r="J16" s="26">
        <v>10000</v>
      </c>
      <c r="K16" s="46">
        <f t="shared" si="4"/>
        <v>30000</v>
      </c>
      <c r="L16" s="25">
        <v>1</v>
      </c>
      <c r="M16" s="90">
        <v>500</v>
      </c>
      <c r="N16" s="46">
        <f t="shared" si="1"/>
        <v>500</v>
      </c>
      <c r="O16" s="27">
        <v>0</v>
      </c>
      <c r="P16" s="27">
        <v>1000</v>
      </c>
      <c r="Q16" s="47">
        <v>1000</v>
      </c>
      <c r="R16" s="26">
        <v>20000</v>
      </c>
      <c r="S16" s="48">
        <f t="shared" si="2"/>
        <v>32500</v>
      </c>
      <c r="T16" s="49">
        <f t="shared" si="3"/>
        <v>12500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s="8" customFormat="1" ht="30" customHeight="1">
      <c r="A17" s="7"/>
      <c r="B17" s="55" t="s">
        <v>43</v>
      </c>
      <c r="C17" s="55"/>
      <c r="D17" s="55"/>
      <c r="E17" s="55"/>
      <c r="F17" s="68">
        <v>46084</v>
      </c>
      <c r="G17" s="68">
        <v>46084</v>
      </c>
      <c r="H17" s="68">
        <v>46094</v>
      </c>
      <c r="I17" s="76">
        <f t="shared" ref="I17:N17" si="5">SUM(I18:I23)</f>
        <v>16</v>
      </c>
      <c r="J17" s="78">
        <f t="shared" si="5"/>
        <v>60000</v>
      </c>
      <c r="K17" s="79">
        <f t="shared" si="5"/>
        <v>160000</v>
      </c>
      <c r="L17" s="76">
        <f t="shared" si="5"/>
        <v>6</v>
      </c>
      <c r="M17" s="78">
        <f t="shared" si="5"/>
        <v>3000</v>
      </c>
      <c r="N17" s="78">
        <f t="shared" si="5"/>
        <v>3000</v>
      </c>
      <c r="O17" s="92">
        <f>SUM(O18:O23)</f>
        <v>0</v>
      </c>
      <c r="P17" s="92">
        <f>SUM(P18:P23)</f>
        <v>6000</v>
      </c>
      <c r="Q17" s="92">
        <f>SUM(Q18:Q23)</f>
        <v>6000</v>
      </c>
      <c r="R17" s="92">
        <f>SUM(R18:R23)</f>
        <v>160000</v>
      </c>
      <c r="S17" s="48">
        <f t="shared" si="2"/>
        <v>175000</v>
      </c>
      <c r="T17" s="49">
        <f t="shared" si="3"/>
        <v>15000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s="8" customFormat="1" ht="30" customHeight="1">
      <c r="A18" s="7"/>
      <c r="B18" s="54" t="s">
        <v>44</v>
      </c>
      <c r="C18" s="54" t="s">
        <v>44</v>
      </c>
      <c r="D18" s="100"/>
      <c r="E18" s="58" t="s">
        <v>30</v>
      </c>
      <c r="F18" s="71">
        <v>46084</v>
      </c>
      <c r="G18" s="71">
        <v>46084</v>
      </c>
      <c r="H18" s="72">
        <v>46085</v>
      </c>
      <c r="I18" s="45">
        <v>1</v>
      </c>
      <c r="J18" s="26">
        <v>10000</v>
      </c>
      <c r="K18" s="46">
        <f t="shared" si="4"/>
        <v>10000</v>
      </c>
      <c r="L18" s="45">
        <v>1</v>
      </c>
      <c r="M18" s="90">
        <v>500</v>
      </c>
      <c r="N18" s="46">
        <f t="shared" ref="N18:N23" si="6">L18*M18</f>
        <v>500</v>
      </c>
      <c r="O18" s="27">
        <v>0</v>
      </c>
      <c r="P18" s="27">
        <v>1000</v>
      </c>
      <c r="Q18" s="47">
        <v>1000</v>
      </c>
      <c r="R18" s="26">
        <v>15000</v>
      </c>
      <c r="S18" s="48">
        <f t="shared" si="2"/>
        <v>12500</v>
      </c>
      <c r="T18" s="49">
        <f t="shared" si="3"/>
        <v>-2500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s="8" customFormat="1" ht="30" customHeight="1">
      <c r="A19" s="7"/>
      <c r="B19" s="54" t="s">
        <v>45</v>
      </c>
      <c r="C19" s="54" t="s">
        <v>45</v>
      </c>
      <c r="D19" s="100"/>
      <c r="E19" s="58" t="s">
        <v>30</v>
      </c>
      <c r="F19" s="71">
        <v>46085</v>
      </c>
      <c r="G19" s="71">
        <v>46085</v>
      </c>
      <c r="H19" s="72">
        <v>46087</v>
      </c>
      <c r="I19" s="45">
        <v>4</v>
      </c>
      <c r="J19" s="26">
        <v>10000</v>
      </c>
      <c r="K19" s="46">
        <f t="shared" si="4"/>
        <v>40000</v>
      </c>
      <c r="L19" s="45">
        <v>1</v>
      </c>
      <c r="M19" s="90">
        <v>500</v>
      </c>
      <c r="N19" s="46">
        <f t="shared" si="6"/>
        <v>500</v>
      </c>
      <c r="O19" s="27">
        <v>0</v>
      </c>
      <c r="P19" s="27">
        <v>1000</v>
      </c>
      <c r="Q19" s="47">
        <v>1000</v>
      </c>
      <c r="R19" s="47">
        <v>50000</v>
      </c>
      <c r="S19" s="48">
        <f t="shared" si="2"/>
        <v>42500</v>
      </c>
      <c r="T19" s="49">
        <f t="shared" si="3"/>
        <v>-7500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s="8" customFormat="1" ht="30" customHeight="1">
      <c r="A20" s="7"/>
      <c r="B20" s="54" t="s">
        <v>46</v>
      </c>
      <c r="C20" s="54" t="s">
        <v>46</v>
      </c>
      <c r="D20" s="100"/>
      <c r="E20" s="58" t="s">
        <v>30</v>
      </c>
      <c r="F20" s="71">
        <v>46087</v>
      </c>
      <c r="G20" s="71">
        <v>46087</v>
      </c>
      <c r="H20" s="72">
        <v>46088</v>
      </c>
      <c r="I20" s="45">
        <v>1</v>
      </c>
      <c r="J20" s="26">
        <v>10000</v>
      </c>
      <c r="K20" s="46">
        <f t="shared" si="4"/>
        <v>10000</v>
      </c>
      <c r="L20" s="45">
        <v>1</v>
      </c>
      <c r="M20" s="90">
        <v>500</v>
      </c>
      <c r="N20" s="46">
        <f t="shared" si="6"/>
        <v>500</v>
      </c>
      <c r="O20" s="27">
        <v>0</v>
      </c>
      <c r="P20" s="27">
        <v>1000</v>
      </c>
      <c r="Q20" s="47">
        <v>1000</v>
      </c>
      <c r="R20" s="26">
        <v>15000</v>
      </c>
      <c r="S20" s="48">
        <f t="shared" si="2"/>
        <v>12500</v>
      </c>
      <c r="T20" s="49">
        <f t="shared" si="3"/>
        <v>-2500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s="8" customFormat="1" ht="30" customHeight="1">
      <c r="A21" s="7"/>
      <c r="B21" s="54" t="s">
        <v>47</v>
      </c>
      <c r="C21" s="54" t="s">
        <v>47</v>
      </c>
      <c r="D21" s="100"/>
      <c r="E21" s="58" t="s">
        <v>30</v>
      </c>
      <c r="F21" s="71">
        <v>46088</v>
      </c>
      <c r="G21" s="71">
        <v>46088</v>
      </c>
      <c r="H21" s="72">
        <v>46090</v>
      </c>
      <c r="I21" s="45">
        <v>4</v>
      </c>
      <c r="J21" s="26">
        <v>10000</v>
      </c>
      <c r="K21" s="46">
        <f t="shared" si="4"/>
        <v>40000</v>
      </c>
      <c r="L21" s="45">
        <v>1</v>
      </c>
      <c r="M21" s="90">
        <v>500</v>
      </c>
      <c r="N21" s="46">
        <f t="shared" si="6"/>
        <v>500</v>
      </c>
      <c r="O21" s="27">
        <v>0</v>
      </c>
      <c r="P21" s="27">
        <v>1000</v>
      </c>
      <c r="Q21" s="47">
        <v>1000</v>
      </c>
      <c r="R21" s="47">
        <v>50000</v>
      </c>
      <c r="S21" s="48">
        <f t="shared" si="2"/>
        <v>42500</v>
      </c>
      <c r="T21" s="49">
        <f t="shared" si="3"/>
        <v>-7500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s="8" customFormat="1" ht="30" customHeight="1">
      <c r="A22" s="7"/>
      <c r="B22" s="54" t="s">
        <v>48</v>
      </c>
      <c r="C22" s="54" t="s">
        <v>48</v>
      </c>
      <c r="D22" s="100"/>
      <c r="E22" s="58" t="s">
        <v>30</v>
      </c>
      <c r="F22" s="71">
        <v>46090</v>
      </c>
      <c r="G22" s="71">
        <v>46090</v>
      </c>
      <c r="H22" s="72">
        <v>46092</v>
      </c>
      <c r="I22" s="45">
        <v>3</v>
      </c>
      <c r="J22" s="26">
        <v>10000</v>
      </c>
      <c r="K22" s="46">
        <f t="shared" si="4"/>
        <v>30000</v>
      </c>
      <c r="L22" s="45">
        <v>1</v>
      </c>
      <c r="M22" s="90">
        <v>500</v>
      </c>
      <c r="N22" s="46">
        <f t="shared" si="6"/>
        <v>500</v>
      </c>
      <c r="O22" s="27">
        <v>0</v>
      </c>
      <c r="P22" s="27">
        <v>1000</v>
      </c>
      <c r="Q22" s="47">
        <v>1000</v>
      </c>
      <c r="R22" s="26">
        <v>15000</v>
      </c>
      <c r="S22" s="48">
        <f t="shared" si="2"/>
        <v>32500</v>
      </c>
      <c r="T22" s="49">
        <f t="shared" si="3"/>
        <v>17500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s="8" customFormat="1" ht="30" customHeight="1">
      <c r="A23" s="7"/>
      <c r="B23" s="54" t="s">
        <v>49</v>
      </c>
      <c r="C23" s="54" t="s">
        <v>49</v>
      </c>
      <c r="D23" s="100"/>
      <c r="E23" s="58" t="s">
        <v>30</v>
      </c>
      <c r="F23" s="71">
        <v>46092</v>
      </c>
      <c r="G23" s="71">
        <v>46092</v>
      </c>
      <c r="H23" s="72">
        <v>46094</v>
      </c>
      <c r="I23" s="45">
        <v>3</v>
      </c>
      <c r="J23" s="26">
        <v>10000</v>
      </c>
      <c r="K23" s="46">
        <f t="shared" si="4"/>
        <v>30000</v>
      </c>
      <c r="L23" s="45">
        <v>1</v>
      </c>
      <c r="M23" s="90">
        <v>500</v>
      </c>
      <c r="N23" s="46">
        <f t="shared" si="6"/>
        <v>500</v>
      </c>
      <c r="O23" s="27">
        <v>0</v>
      </c>
      <c r="P23" s="27">
        <v>1000</v>
      </c>
      <c r="Q23" s="47">
        <v>1000</v>
      </c>
      <c r="R23" s="26">
        <v>15000</v>
      </c>
      <c r="S23" s="48">
        <f t="shared" si="2"/>
        <v>32500</v>
      </c>
      <c r="T23" s="49">
        <f t="shared" si="3"/>
        <v>17500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s="8" customFormat="1" ht="30" customHeight="1">
      <c r="A24" s="7"/>
      <c r="B24" s="56" t="s">
        <v>50</v>
      </c>
      <c r="C24" s="56"/>
      <c r="D24" s="56"/>
      <c r="E24" s="56"/>
      <c r="F24" s="69">
        <v>46097</v>
      </c>
      <c r="G24" s="69">
        <v>46097</v>
      </c>
      <c r="H24" s="69">
        <v>46103</v>
      </c>
      <c r="I24" s="77">
        <f t="shared" ref="I24:N24" si="7">SUM(I25:I27)</f>
        <v>8</v>
      </c>
      <c r="J24" s="80">
        <f t="shared" si="7"/>
        <v>75000</v>
      </c>
      <c r="K24" s="81">
        <f t="shared" si="7"/>
        <v>200000</v>
      </c>
      <c r="L24" s="77">
        <f t="shared" si="7"/>
        <v>3</v>
      </c>
      <c r="M24" s="80">
        <f t="shared" si="7"/>
        <v>1500</v>
      </c>
      <c r="N24" s="81">
        <f t="shared" si="7"/>
        <v>1500</v>
      </c>
      <c r="O24" s="81">
        <f>SUM(O25:O27)</f>
        <v>0</v>
      </c>
      <c r="P24" s="81">
        <f>SUM(P25:P27)</f>
        <v>3000</v>
      </c>
      <c r="Q24" s="81">
        <f>SUM(Q25:Q27)</f>
        <v>3000</v>
      </c>
      <c r="R24" s="81">
        <f>SUM(R25:R27)</f>
        <v>175000</v>
      </c>
      <c r="S24" s="48">
        <f t="shared" si="2"/>
        <v>207500</v>
      </c>
      <c r="T24" s="49">
        <f t="shared" si="3"/>
        <v>32500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s="8" customFormat="1" ht="30" customHeight="1">
      <c r="A25" s="7"/>
      <c r="B25" s="52" t="s">
        <v>51</v>
      </c>
      <c r="C25" s="52" t="s">
        <v>51</v>
      </c>
      <c r="D25" s="98"/>
      <c r="E25" s="58" t="s">
        <v>30</v>
      </c>
      <c r="F25" s="71">
        <v>46097</v>
      </c>
      <c r="G25" s="71">
        <v>46097</v>
      </c>
      <c r="H25" s="72">
        <v>46099</v>
      </c>
      <c r="I25" s="45">
        <v>3</v>
      </c>
      <c r="J25" s="26">
        <v>25000</v>
      </c>
      <c r="K25" s="46">
        <f t="shared" si="4"/>
        <v>75000</v>
      </c>
      <c r="L25" s="45">
        <v>1</v>
      </c>
      <c r="M25" s="90">
        <v>500</v>
      </c>
      <c r="N25" s="46">
        <f>L25*M25</f>
        <v>500</v>
      </c>
      <c r="O25" s="27">
        <v>0</v>
      </c>
      <c r="P25" s="27">
        <v>1000</v>
      </c>
      <c r="Q25" s="47">
        <v>1000</v>
      </c>
      <c r="R25" s="47">
        <v>50000</v>
      </c>
      <c r="S25" s="48">
        <f t="shared" si="2"/>
        <v>77500</v>
      </c>
      <c r="T25" s="49">
        <f t="shared" si="3"/>
        <v>27500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s="8" customFormat="1" ht="30" customHeight="1">
      <c r="A26" s="7"/>
      <c r="B26" s="52" t="s">
        <v>52</v>
      </c>
      <c r="C26" s="52" t="s">
        <v>52</v>
      </c>
      <c r="D26" s="98"/>
      <c r="E26" s="58" t="s">
        <v>30</v>
      </c>
      <c r="F26" s="71">
        <v>46099</v>
      </c>
      <c r="G26" s="71">
        <v>46099</v>
      </c>
      <c r="H26" s="72">
        <v>46100</v>
      </c>
      <c r="I26" s="45">
        <v>2</v>
      </c>
      <c r="J26" s="26">
        <v>25000</v>
      </c>
      <c r="K26" s="46">
        <f t="shared" si="4"/>
        <v>50000</v>
      </c>
      <c r="L26" s="45">
        <v>1</v>
      </c>
      <c r="M26" s="90">
        <v>500</v>
      </c>
      <c r="N26" s="46">
        <f>L26*M26</f>
        <v>500</v>
      </c>
      <c r="O26" s="27">
        <v>0</v>
      </c>
      <c r="P26" s="27">
        <v>1000</v>
      </c>
      <c r="Q26" s="47">
        <v>1000</v>
      </c>
      <c r="R26" s="47">
        <v>50000</v>
      </c>
      <c r="S26" s="48">
        <f t="shared" si="2"/>
        <v>52500</v>
      </c>
      <c r="T26" s="49">
        <f t="shared" si="3"/>
        <v>2500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s="8" customFormat="1" ht="30" customHeight="1">
      <c r="A27" s="7"/>
      <c r="B27" s="53" t="s">
        <v>53</v>
      </c>
      <c r="C27" s="53" t="s">
        <v>53</v>
      </c>
      <c r="D27" s="99"/>
      <c r="E27" s="58" t="s">
        <v>30</v>
      </c>
      <c r="F27" s="71">
        <v>46100</v>
      </c>
      <c r="G27" s="71">
        <v>46100</v>
      </c>
      <c r="H27" s="72">
        <v>46103</v>
      </c>
      <c r="I27" s="45">
        <v>3</v>
      </c>
      <c r="J27" s="26">
        <v>25000</v>
      </c>
      <c r="K27" s="46">
        <f t="shared" si="4"/>
        <v>75000</v>
      </c>
      <c r="L27" s="45">
        <v>1</v>
      </c>
      <c r="M27" s="90">
        <v>500</v>
      </c>
      <c r="N27" s="46">
        <f>L27*M27</f>
        <v>500</v>
      </c>
      <c r="O27" s="27">
        <v>0</v>
      </c>
      <c r="P27" s="27">
        <v>1000</v>
      </c>
      <c r="Q27" s="47">
        <v>1000</v>
      </c>
      <c r="R27" s="47">
        <v>75000</v>
      </c>
      <c r="S27" s="48">
        <f t="shared" si="2"/>
        <v>77500</v>
      </c>
      <c r="T27" s="49">
        <f t="shared" si="3"/>
        <v>2500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s="8" customFormat="1" ht="30" customHeight="1">
      <c r="A28" s="7"/>
      <c r="B28" s="57" t="s">
        <v>54</v>
      </c>
      <c r="C28" s="57"/>
      <c r="D28" s="57"/>
      <c r="E28" s="57"/>
      <c r="F28" s="70">
        <v>46106</v>
      </c>
      <c r="G28" s="70">
        <v>46106</v>
      </c>
      <c r="H28" s="70">
        <v>46115</v>
      </c>
      <c r="I28" s="82">
        <f t="shared" ref="I28:N28" si="8">SUM(I29:I31)</f>
        <v>18</v>
      </c>
      <c r="J28" s="83">
        <f t="shared" si="8"/>
        <v>75000</v>
      </c>
      <c r="K28" s="84">
        <f t="shared" si="8"/>
        <v>450000</v>
      </c>
      <c r="L28" s="82">
        <f t="shared" si="8"/>
        <v>4</v>
      </c>
      <c r="M28" s="83">
        <f t="shared" si="8"/>
        <v>30000</v>
      </c>
      <c r="N28" s="84">
        <f t="shared" si="8"/>
        <v>40000</v>
      </c>
      <c r="O28" s="84">
        <f>SUM(O25:O27)</f>
        <v>0</v>
      </c>
      <c r="P28" s="84">
        <f>SUM(P29:P31)</f>
        <v>3000</v>
      </c>
      <c r="Q28" s="84">
        <f>SUM(Q29:Q31)</f>
        <v>0</v>
      </c>
      <c r="R28" s="84">
        <f>SUM(R29:R31)</f>
        <v>475000</v>
      </c>
      <c r="S28" s="48">
        <f t="shared" si="2"/>
        <v>493000</v>
      </c>
      <c r="T28" s="49">
        <f t="shared" si="3"/>
        <v>18000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s="8" customFormat="1" ht="30.75" customHeight="1">
      <c r="A29" s="7"/>
      <c r="B29" s="52" t="s">
        <v>55</v>
      </c>
      <c r="C29" s="52" t="s">
        <v>55</v>
      </c>
      <c r="D29" s="52"/>
      <c r="E29" s="58" t="s">
        <v>30</v>
      </c>
      <c r="F29" s="71">
        <v>46106</v>
      </c>
      <c r="G29" s="71">
        <v>46106</v>
      </c>
      <c r="H29" s="72">
        <v>46107</v>
      </c>
      <c r="I29" s="45">
        <v>2</v>
      </c>
      <c r="J29" s="26">
        <v>25000</v>
      </c>
      <c r="K29" s="46">
        <f t="shared" si="4"/>
        <v>50000</v>
      </c>
      <c r="L29" s="45">
        <v>1</v>
      </c>
      <c r="M29" s="90">
        <v>10000</v>
      </c>
      <c r="N29" s="46">
        <f>L29*M29</f>
        <v>10000</v>
      </c>
      <c r="O29" s="27">
        <v>0</v>
      </c>
      <c r="P29" s="27">
        <v>1000</v>
      </c>
      <c r="Q29" s="47">
        <v>0</v>
      </c>
      <c r="R29" s="26">
        <v>75000</v>
      </c>
      <c r="S29" s="48">
        <f t="shared" si="2"/>
        <v>61000</v>
      </c>
      <c r="T29" s="49">
        <f t="shared" si="3"/>
        <v>-14000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s="8" customFormat="1" ht="30.75" customHeight="1">
      <c r="A30" s="7"/>
      <c r="B30" s="52" t="s">
        <v>56</v>
      </c>
      <c r="C30" s="52" t="s">
        <v>56</v>
      </c>
      <c r="D30" s="52"/>
      <c r="E30" s="58" t="s">
        <v>30</v>
      </c>
      <c r="F30" s="71">
        <v>46107</v>
      </c>
      <c r="G30" s="71">
        <v>46107</v>
      </c>
      <c r="H30" s="72">
        <v>46110</v>
      </c>
      <c r="I30" s="45">
        <v>6</v>
      </c>
      <c r="J30" s="26">
        <v>25000</v>
      </c>
      <c r="K30" s="46">
        <f>I30*J31</f>
        <v>150000</v>
      </c>
      <c r="L30" s="45">
        <v>1</v>
      </c>
      <c r="M30" s="90">
        <v>10000</v>
      </c>
      <c r="N30" s="46">
        <f>L30*M30</f>
        <v>10000</v>
      </c>
      <c r="O30" s="27">
        <v>0</v>
      </c>
      <c r="P30" s="27">
        <v>1000</v>
      </c>
      <c r="Q30" s="47">
        <v>0</v>
      </c>
      <c r="R30" s="26">
        <v>100000</v>
      </c>
      <c r="S30" s="48">
        <f t="shared" si="2"/>
        <v>161000</v>
      </c>
      <c r="T30" s="49">
        <f t="shared" si="3"/>
        <v>61000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s="8" customFormat="1" ht="30.75" customHeight="1">
      <c r="A31" s="7"/>
      <c r="B31" s="52" t="s">
        <v>57</v>
      </c>
      <c r="C31" s="52" t="s">
        <v>57</v>
      </c>
      <c r="D31" s="52"/>
      <c r="E31" s="58" t="s">
        <v>30</v>
      </c>
      <c r="F31" s="71">
        <v>46110</v>
      </c>
      <c r="G31" s="71">
        <v>46110</v>
      </c>
      <c r="H31" s="72">
        <v>46115</v>
      </c>
      <c r="I31" s="45">
        <v>10</v>
      </c>
      <c r="J31" s="26">
        <v>25000</v>
      </c>
      <c r="K31" s="46">
        <f>I31*J31</f>
        <v>250000</v>
      </c>
      <c r="L31" s="45">
        <v>2</v>
      </c>
      <c r="M31" s="90">
        <v>10000</v>
      </c>
      <c r="N31" s="46">
        <f>L31*M31</f>
        <v>20000</v>
      </c>
      <c r="O31" s="27">
        <v>0</v>
      </c>
      <c r="P31" s="27">
        <v>1000</v>
      </c>
      <c r="Q31" s="47">
        <v>0</v>
      </c>
      <c r="R31" s="26">
        <v>300000</v>
      </c>
      <c r="S31" s="48">
        <f t="shared" si="2"/>
        <v>271000</v>
      </c>
      <c r="T31" s="49">
        <f t="shared" si="3"/>
        <v>-29000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s="8" customFormat="1" ht="30.75" customHeight="1">
      <c r="A32" s="7"/>
      <c r="B32" s="51" t="s">
        <v>58</v>
      </c>
      <c r="C32" s="51"/>
      <c r="D32" s="51"/>
      <c r="E32" s="51"/>
      <c r="F32" s="73">
        <v>46118</v>
      </c>
      <c r="G32" s="73">
        <v>46118</v>
      </c>
      <c r="H32" s="73">
        <v>46127</v>
      </c>
      <c r="I32" s="85">
        <f t="shared" ref="I32:N32" si="9">SUM(I33:I36)</f>
        <v>15</v>
      </c>
      <c r="J32" s="86">
        <f t="shared" si="9"/>
        <v>240000</v>
      </c>
      <c r="K32" s="87">
        <f t="shared" si="9"/>
        <v>900000</v>
      </c>
      <c r="L32" s="85">
        <f t="shared" si="9"/>
        <v>8</v>
      </c>
      <c r="M32" s="86">
        <f t="shared" si="9"/>
        <v>20000</v>
      </c>
      <c r="N32" s="87">
        <f t="shared" si="9"/>
        <v>40000</v>
      </c>
      <c r="O32" s="87">
        <f>SUM(O29:O31)</f>
        <v>0</v>
      </c>
      <c r="P32" s="87">
        <f>SUM(P33:P36)</f>
        <v>135000</v>
      </c>
      <c r="Q32" s="87">
        <f>SUM(Q33:Q36)</f>
        <v>0</v>
      </c>
      <c r="R32" s="87">
        <f>SUM(R33:R36)</f>
        <v>1000000</v>
      </c>
      <c r="S32" s="48">
        <f t="shared" si="2"/>
        <v>1075000</v>
      </c>
      <c r="T32" s="49">
        <f t="shared" si="3"/>
        <v>75000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s="8" customFormat="1" ht="30.75" customHeight="1">
      <c r="A33" s="7"/>
      <c r="B33" s="52" t="s">
        <v>59</v>
      </c>
      <c r="C33" s="52" t="s">
        <v>59</v>
      </c>
      <c r="D33" s="98"/>
      <c r="E33" s="58" t="s">
        <v>30</v>
      </c>
      <c r="F33" s="71">
        <v>46118</v>
      </c>
      <c r="G33" s="71">
        <v>46118</v>
      </c>
      <c r="H33" s="72">
        <v>46119</v>
      </c>
      <c r="I33" s="45">
        <v>1</v>
      </c>
      <c r="J33" s="26">
        <v>60000</v>
      </c>
      <c r="K33" s="46">
        <f t="shared" si="4"/>
        <v>60000</v>
      </c>
      <c r="L33" s="45">
        <v>1</v>
      </c>
      <c r="M33" s="90">
        <v>5000</v>
      </c>
      <c r="N33" s="46">
        <f>L33*M33</f>
        <v>5000</v>
      </c>
      <c r="O33" s="27">
        <v>0</v>
      </c>
      <c r="P33" s="27">
        <v>5000</v>
      </c>
      <c r="Q33" s="47">
        <v>0</v>
      </c>
      <c r="R33" s="26">
        <v>100000</v>
      </c>
      <c r="S33" s="48">
        <f t="shared" si="2"/>
        <v>70000</v>
      </c>
      <c r="T33" s="49">
        <f>S33-R33</f>
        <v>-30000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s="8" customFormat="1" ht="30.75" customHeight="1">
      <c r="A34" s="7"/>
      <c r="B34" s="52" t="s">
        <v>60</v>
      </c>
      <c r="C34" s="52" t="s">
        <v>60</v>
      </c>
      <c r="D34" s="98"/>
      <c r="E34" s="58" t="s">
        <v>30</v>
      </c>
      <c r="F34" s="71">
        <v>46119</v>
      </c>
      <c r="G34" s="71">
        <v>46119</v>
      </c>
      <c r="H34" s="72">
        <v>46121</v>
      </c>
      <c r="I34" s="45">
        <v>1</v>
      </c>
      <c r="J34" s="26">
        <v>60000</v>
      </c>
      <c r="K34" s="46">
        <f t="shared" si="4"/>
        <v>60000</v>
      </c>
      <c r="L34" s="45">
        <v>1</v>
      </c>
      <c r="M34" s="90">
        <v>5000</v>
      </c>
      <c r="N34" s="46">
        <f>L34*M34</f>
        <v>5000</v>
      </c>
      <c r="O34" s="27">
        <v>0</v>
      </c>
      <c r="P34" s="27">
        <v>5000</v>
      </c>
      <c r="Q34" s="47">
        <v>0</v>
      </c>
      <c r="R34" s="26">
        <v>100000</v>
      </c>
      <c r="S34" s="48">
        <f t="shared" si="2"/>
        <v>70000</v>
      </c>
      <c r="T34" s="49">
        <f>S34-R34</f>
        <v>-30000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s="8" customFormat="1" ht="30.75" customHeight="1">
      <c r="A35" s="7"/>
      <c r="B35" s="52" t="s">
        <v>61</v>
      </c>
      <c r="C35" s="52" t="s">
        <v>61</v>
      </c>
      <c r="D35" s="98"/>
      <c r="E35" s="58" t="s">
        <v>30</v>
      </c>
      <c r="F35" s="71">
        <v>46121</v>
      </c>
      <c r="G35" s="71">
        <v>46121</v>
      </c>
      <c r="H35" s="72">
        <v>46124</v>
      </c>
      <c r="I35" s="45">
        <v>3</v>
      </c>
      <c r="J35" s="26">
        <v>60000</v>
      </c>
      <c r="K35" s="46">
        <f t="shared" si="4"/>
        <v>180000</v>
      </c>
      <c r="L35" s="45">
        <v>1</v>
      </c>
      <c r="M35" s="90">
        <v>5000</v>
      </c>
      <c r="N35" s="46">
        <f>L35*M35</f>
        <v>5000</v>
      </c>
      <c r="O35" s="27">
        <v>0</v>
      </c>
      <c r="P35" s="27">
        <v>25000</v>
      </c>
      <c r="Q35" s="47">
        <v>0</v>
      </c>
      <c r="R35" s="26">
        <v>200000</v>
      </c>
      <c r="S35" s="48">
        <f t="shared" si="2"/>
        <v>210000</v>
      </c>
      <c r="T35" s="49">
        <f t="shared" si="3"/>
        <v>10000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s="8" customFormat="1" ht="30.75" customHeight="1">
      <c r="A36" s="7"/>
      <c r="B36" s="52" t="s">
        <v>62</v>
      </c>
      <c r="C36" s="52" t="s">
        <v>62</v>
      </c>
      <c r="D36" s="98"/>
      <c r="E36" s="58" t="s">
        <v>30</v>
      </c>
      <c r="F36" s="71">
        <v>46124</v>
      </c>
      <c r="G36" s="71">
        <v>46124</v>
      </c>
      <c r="H36" s="72">
        <v>46127</v>
      </c>
      <c r="I36" s="45">
        <v>10</v>
      </c>
      <c r="J36" s="26">
        <v>60000</v>
      </c>
      <c r="K36" s="46">
        <f t="shared" si="4"/>
        <v>600000</v>
      </c>
      <c r="L36" s="45">
        <v>5</v>
      </c>
      <c r="M36" s="90">
        <v>5000</v>
      </c>
      <c r="N36" s="46">
        <f>L36*M36</f>
        <v>25000</v>
      </c>
      <c r="O36" s="27">
        <v>0</v>
      </c>
      <c r="P36" s="27">
        <v>100000</v>
      </c>
      <c r="Q36" s="47">
        <v>0</v>
      </c>
      <c r="R36" s="26">
        <v>600000</v>
      </c>
      <c r="S36" s="48">
        <f t="shared" si="2"/>
        <v>725000</v>
      </c>
      <c r="T36" s="49">
        <f t="shared" si="3"/>
        <v>125000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s="8" customFormat="1" ht="30.75" customHeight="1">
      <c r="A37" s="7"/>
      <c r="B37" s="55" t="s">
        <v>63</v>
      </c>
      <c r="C37" s="55"/>
      <c r="D37" s="55"/>
      <c r="E37" s="55"/>
      <c r="F37" s="68">
        <v>46130</v>
      </c>
      <c r="G37" s="68">
        <v>46130</v>
      </c>
      <c r="H37" s="68">
        <v>46131</v>
      </c>
      <c r="I37" s="76">
        <f t="shared" ref="I37:N37" si="10">SUM(I38)</f>
        <v>2</v>
      </c>
      <c r="J37" s="78">
        <f t="shared" si="10"/>
        <v>50000</v>
      </c>
      <c r="K37" s="79">
        <f t="shared" si="10"/>
        <v>100000</v>
      </c>
      <c r="L37" s="76">
        <f t="shared" si="10"/>
        <v>1</v>
      </c>
      <c r="M37" s="78">
        <f t="shared" si="10"/>
        <v>10000</v>
      </c>
      <c r="N37" s="79">
        <f t="shared" si="10"/>
        <v>10000</v>
      </c>
      <c r="O37" s="79">
        <f>SUM(O33:O36)</f>
        <v>0</v>
      </c>
      <c r="P37" s="79">
        <f>SUM(P38)</f>
        <v>30000</v>
      </c>
      <c r="Q37" s="79">
        <f>SUM(Q38)</f>
        <v>0</v>
      </c>
      <c r="R37" s="79">
        <f>SUM(R38)</f>
        <v>150000</v>
      </c>
      <c r="S37" s="48">
        <f t="shared" si="2"/>
        <v>140000</v>
      </c>
      <c r="T37" s="49">
        <f t="shared" si="3"/>
        <v>-10000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s="8" customFormat="1" ht="30.75" customHeight="1">
      <c r="A38" s="7"/>
      <c r="B38" s="52" t="s">
        <v>64</v>
      </c>
      <c r="C38" s="52" t="s">
        <v>64</v>
      </c>
      <c r="D38" s="52"/>
      <c r="E38" s="58" t="s">
        <v>30</v>
      </c>
      <c r="F38" s="71">
        <v>46130</v>
      </c>
      <c r="G38" s="71">
        <v>46130</v>
      </c>
      <c r="H38" s="72">
        <v>46131</v>
      </c>
      <c r="I38" s="45">
        <v>2</v>
      </c>
      <c r="J38" s="26">
        <v>50000</v>
      </c>
      <c r="K38" s="46">
        <f t="shared" si="4"/>
        <v>100000</v>
      </c>
      <c r="L38" s="45">
        <v>1</v>
      </c>
      <c r="M38" s="90">
        <v>10000</v>
      </c>
      <c r="N38" s="46">
        <f>L38*M38</f>
        <v>10000</v>
      </c>
      <c r="O38" s="27">
        <v>0</v>
      </c>
      <c r="P38" s="27">
        <v>30000</v>
      </c>
      <c r="Q38" s="47">
        <v>0</v>
      </c>
      <c r="R38" s="26">
        <v>150000</v>
      </c>
      <c r="S38" s="48">
        <f t="shared" ref="S38:S56" si="11">K38+N38+O38+P38+Q38</f>
        <v>140000</v>
      </c>
      <c r="T38" s="49">
        <f t="shared" si="3"/>
        <v>-10000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s="8" customFormat="1" ht="30.75" customHeight="1">
      <c r="A39" s="7"/>
      <c r="B39" s="56" t="s">
        <v>65</v>
      </c>
      <c r="C39" s="56"/>
      <c r="D39" s="56"/>
      <c r="E39" s="56"/>
      <c r="F39" s="69">
        <v>46134</v>
      </c>
      <c r="G39" s="69">
        <v>46134</v>
      </c>
      <c r="H39" s="69">
        <v>46143</v>
      </c>
      <c r="I39" s="77">
        <f t="shared" ref="I39:N39" si="12">SUM(I40:I43)</f>
        <v>51</v>
      </c>
      <c r="J39" s="80">
        <f t="shared" si="12"/>
        <v>200000</v>
      </c>
      <c r="K39" s="81">
        <f t="shared" si="12"/>
        <v>2550000</v>
      </c>
      <c r="L39" s="77">
        <f t="shared" si="12"/>
        <v>7</v>
      </c>
      <c r="M39" s="80">
        <f t="shared" si="12"/>
        <v>156000</v>
      </c>
      <c r="N39" s="81">
        <f t="shared" si="12"/>
        <v>381000</v>
      </c>
      <c r="O39" s="81">
        <f>O38</f>
        <v>0</v>
      </c>
      <c r="P39" s="81">
        <f>SUM(P40:P43)</f>
        <v>125000</v>
      </c>
      <c r="Q39" s="81">
        <f>SUM(Q40:Q43)</f>
        <v>0</v>
      </c>
      <c r="R39" s="81">
        <f>SUM(R40:R43)</f>
        <v>3500000</v>
      </c>
      <c r="S39" s="48">
        <f t="shared" si="11"/>
        <v>3056000</v>
      </c>
      <c r="T39" s="49">
        <f t="shared" si="3"/>
        <v>-444000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s="8" customFormat="1" ht="30.75" customHeight="1">
      <c r="A40" s="7"/>
      <c r="B40" s="52" t="s">
        <v>66</v>
      </c>
      <c r="C40" s="52" t="s">
        <v>66</v>
      </c>
      <c r="D40" s="98"/>
      <c r="E40" s="58" t="s">
        <v>30</v>
      </c>
      <c r="F40" s="71">
        <v>46134</v>
      </c>
      <c r="G40" s="71">
        <v>46134</v>
      </c>
      <c r="H40" s="72">
        <v>46135</v>
      </c>
      <c r="I40" s="45">
        <v>3</v>
      </c>
      <c r="J40" s="26">
        <v>50000</v>
      </c>
      <c r="K40" s="46">
        <f t="shared" si="4"/>
        <v>150000</v>
      </c>
      <c r="L40" s="45">
        <v>1</v>
      </c>
      <c r="M40" s="90">
        <v>5000</v>
      </c>
      <c r="N40" s="46">
        <f>L40*M40</f>
        <v>5000</v>
      </c>
      <c r="O40" s="27">
        <v>0</v>
      </c>
      <c r="P40" s="27">
        <v>35000</v>
      </c>
      <c r="Q40" s="47">
        <v>0</v>
      </c>
      <c r="R40" s="26">
        <v>300000</v>
      </c>
      <c r="S40" s="48">
        <f t="shared" si="11"/>
        <v>190000</v>
      </c>
      <c r="T40" s="49">
        <f t="shared" si="3"/>
        <v>-110000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s="8" customFormat="1" ht="30.75" customHeight="1">
      <c r="A41" s="7"/>
      <c r="B41" s="52" t="s">
        <v>67</v>
      </c>
      <c r="C41" s="52" t="s">
        <v>67</v>
      </c>
      <c r="D41" s="98"/>
      <c r="E41" s="58" t="s">
        <v>30</v>
      </c>
      <c r="F41" s="71">
        <v>46135</v>
      </c>
      <c r="G41" s="71">
        <v>46135</v>
      </c>
      <c r="H41" s="72">
        <v>46137</v>
      </c>
      <c r="I41" s="45">
        <v>4</v>
      </c>
      <c r="J41" s="26">
        <v>50000</v>
      </c>
      <c r="K41" s="46">
        <f t="shared" si="4"/>
        <v>200000</v>
      </c>
      <c r="L41" s="45">
        <v>1</v>
      </c>
      <c r="M41" s="90">
        <v>1000</v>
      </c>
      <c r="N41" s="46">
        <f>L41*M41</f>
        <v>1000</v>
      </c>
      <c r="O41" s="27">
        <v>0</v>
      </c>
      <c r="P41" s="27">
        <v>25000</v>
      </c>
      <c r="Q41" s="47">
        <v>0</v>
      </c>
      <c r="R41" s="26">
        <v>200000</v>
      </c>
      <c r="S41" s="48">
        <f t="shared" si="11"/>
        <v>226000</v>
      </c>
      <c r="T41" s="49">
        <f t="shared" si="3"/>
        <v>26000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s="8" customFormat="1" ht="30.75" customHeight="1">
      <c r="A42" s="7"/>
      <c r="B42" s="52" t="s">
        <v>68</v>
      </c>
      <c r="C42" s="52" t="s">
        <v>68</v>
      </c>
      <c r="D42" s="98"/>
      <c r="E42" s="58" t="s">
        <v>30</v>
      </c>
      <c r="F42" s="71">
        <v>46137</v>
      </c>
      <c r="G42" s="71">
        <v>46137</v>
      </c>
      <c r="H42" s="72">
        <v>46142</v>
      </c>
      <c r="I42" s="45">
        <v>24</v>
      </c>
      <c r="J42" s="26">
        <v>50000</v>
      </c>
      <c r="K42" s="46">
        <f t="shared" si="4"/>
        <v>1200000</v>
      </c>
      <c r="L42" s="45">
        <v>2</v>
      </c>
      <c r="M42" s="90">
        <v>75000</v>
      </c>
      <c r="N42" s="46">
        <f>L42*M42</f>
        <v>150000</v>
      </c>
      <c r="O42" s="27">
        <v>0</v>
      </c>
      <c r="P42" s="27">
        <v>30000</v>
      </c>
      <c r="Q42" s="47">
        <v>0</v>
      </c>
      <c r="R42" s="26">
        <v>1500000</v>
      </c>
      <c r="S42" s="48">
        <f t="shared" si="11"/>
        <v>1380000</v>
      </c>
      <c r="T42" s="49">
        <f t="shared" si="3"/>
        <v>-120000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s="8" customFormat="1" ht="30.75" customHeight="1">
      <c r="A43" s="7"/>
      <c r="B43" s="52" t="s">
        <v>69</v>
      </c>
      <c r="C43" s="52" t="s">
        <v>69</v>
      </c>
      <c r="D43" s="98"/>
      <c r="E43" s="58" t="s">
        <v>30</v>
      </c>
      <c r="F43" s="71">
        <v>46142</v>
      </c>
      <c r="G43" s="71">
        <v>46142</v>
      </c>
      <c r="H43" s="72">
        <v>46143</v>
      </c>
      <c r="I43" s="45">
        <v>20</v>
      </c>
      <c r="J43" s="26">
        <v>50000</v>
      </c>
      <c r="K43" s="46">
        <f t="shared" si="4"/>
        <v>1000000</v>
      </c>
      <c r="L43" s="45">
        <v>3</v>
      </c>
      <c r="M43" s="90">
        <v>75000</v>
      </c>
      <c r="N43" s="46">
        <f>L43*M43</f>
        <v>225000</v>
      </c>
      <c r="O43" s="27">
        <v>0</v>
      </c>
      <c r="P43" s="27">
        <v>35000</v>
      </c>
      <c r="Q43" s="47">
        <v>0</v>
      </c>
      <c r="R43" s="26">
        <v>1500000</v>
      </c>
      <c r="S43" s="48">
        <f t="shared" si="11"/>
        <v>1260000</v>
      </c>
      <c r="T43" s="49">
        <f t="shared" si="3"/>
        <v>-240000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s="8" customFormat="1" ht="30.75" customHeight="1">
      <c r="A44" s="7"/>
      <c r="B44" s="57" t="s">
        <v>70</v>
      </c>
      <c r="C44" s="57"/>
      <c r="D44" s="57"/>
      <c r="E44" s="57"/>
      <c r="F44" s="70">
        <v>46146</v>
      </c>
      <c r="G44" s="70">
        <v>46146</v>
      </c>
      <c r="H44" s="70">
        <v>46161</v>
      </c>
      <c r="I44" s="82">
        <f t="shared" ref="I44:N44" si="13">SUM(I45:I50)</f>
        <v>42</v>
      </c>
      <c r="J44" s="83">
        <f t="shared" si="13"/>
        <v>180000</v>
      </c>
      <c r="K44" s="84">
        <f t="shared" si="13"/>
        <v>1260000</v>
      </c>
      <c r="L44" s="82">
        <f t="shared" si="13"/>
        <v>7</v>
      </c>
      <c r="M44" s="83">
        <f t="shared" si="13"/>
        <v>16000</v>
      </c>
      <c r="N44" s="84">
        <f t="shared" si="13"/>
        <v>26000</v>
      </c>
      <c r="O44" s="84">
        <f>SUM(O40:O43)</f>
        <v>0</v>
      </c>
      <c r="P44" s="84">
        <f>SUM(P45:P50)</f>
        <v>60000</v>
      </c>
      <c r="Q44" s="84">
        <f>SUM(Q45:Q50)</f>
        <v>0</v>
      </c>
      <c r="R44" s="84">
        <f>SUM(R45:R50)</f>
        <v>1350000</v>
      </c>
      <c r="S44" s="48">
        <f t="shared" si="11"/>
        <v>1346000</v>
      </c>
      <c r="T44" s="49">
        <f t="shared" si="3"/>
        <v>-4000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s="8" customFormat="1" ht="30.75" customHeight="1">
      <c r="A45" s="7"/>
      <c r="B45" s="52" t="s">
        <v>71</v>
      </c>
      <c r="C45" s="52" t="s">
        <v>71</v>
      </c>
      <c r="D45" s="52"/>
      <c r="E45" s="59" t="s">
        <v>30</v>
      </c>
      <c r="F45" s="71">
        <v>46146</v>
      </c>
      <c r="G45" s="71">
        <v>46146</v>
      </c>
      <c r="H45" s="72">
        <v>46147</v>
      </c>
      <c r="I45" s="45">
        <v>1</v>
      </c>
      <c r="J45" s="26">
        <v>30000</v>
      </c>
      <c r="K45" s="46">
        <f t="shared" si="4"/>
        <v>30000</v>
      </c>
      <c r="L45" s="45">
        <v>1</v>
      </c>
      <c r="M45" s="90">
        <v>1000</v>
      </c>
      <c r="N45" s="46">
        <f t="shared" ref="N45:N50" si="14">L45*M45</f>
        <v>1000</v>
      </c>
      <c r="O45" s="27">
        <v>0</v>
      </c>
      <c r="P45" s="27">
        <v>10000</v>
      </c>
      <c r="Q45" s="47">
        <v>0</v>
      </c>
      <c r="R45" s="26">
        <v>50000</v>
      </c>
      <c r="S45" s="48">
        <f t="shared" si="11"/>
        <v>41000</v>
      </c>
      <c r="T45" s="49">
        <f t="shared" si="3"/>
        <v>-9000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s="8" customFormat="1" ht="30.75" customHeight="1">
      <c r="A46" s="7"/>
      <c r="B46" s="52" t="s">
        <v>72</v>
      </c>
      <c r="C46" s="52" t="s">
        <v>72</v>
      </c>
      <c r="D46" s="52"/>
      <c r="E46" s="59" t="s">
        <v>30</v>
      </c>
      <c r="F46" s="71">
        <v>46147</v>
      </c>
      <c r="G46" s="71">
        <v>46147</v>
      </c>
      <c r="H46" s="72">
        <v>46148</v>
      </c>
      <c r="I46" s="45">
        <v>2</v>
      </c>
      <c r="J46" s="26">
        <v>30000</v>
      </c>
      <c r="K46" s="46">
        <f t="shared" si="4"/>
        <v>60000</v>
      </c>
      <c r="L46" s="45">
        <v>1</v>
      </c>
      <c r="M46" s="90">
        <v>1000</v>
      </c>
      <c r="N46" s="46">
        <f t="shared" si="14"/>
        <v>1000</v>
      </c>
      <c r="O46" s="27">
        <v>0</v>
      </c>
      <c r="P46" s="27">
        <v>10000</v>
      </c>
      <c r="Q46" s="47">
        <v>0</v>
      </c>
      <c r="R46" s="26">
        <v>100000</v>
      </c>
      <c r="S46" s="48">
        <f t="shared" si="11"/>
        <v>71000</v>
      </c>
      <c r="T46" s="49">
        <f t="shared" si="3"/>
        <v>-29000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s="8" customFormat="1" ht="30.75" customHeight="1">
      <c r="A47" s="7"/>
      <c r="B47" s="52" t="s">
        <v>73</v>
      </c>
      <c r="C47" s="52" t="s">
        <v>73</v>
      </c>
      <c r="D47" s="52"/>
      <c r="E47" s="59" t="s">
        <v>30</v>
      </c>
      <c r="F47" s="71">
        <v>46148</v>
      </c>
      <c r="G47" s="71">
        <v>46148</v>
      </c>
      <c r="H47" s="72">
        <v>46151</v>
      </c>
      <c r="I47" s="45">
        <v>15</v>
      </c>
      <c r="J47" s="26">
        <v>30000</v>
      </c>
      <c r="K47" s="46">
        <f t="shared" si="4"/>
        <v>450000</v>
      </c>
      <c r="L47" s="45">
        <v>1</v>
      </c>
      <c r="M47" s="90">
        <v>1000</v>
      </c>
      <c r="N47" s="46">
        <f t="shared" si="14"/>
        <v>1000</v>
      </c>
      <c r="O47" s="27">
        <v>0</v>
      </c>
      <c r="P47" s="27">
        <v>10000</v>
      </c>
      <c r="Q47" s="47">
        <v>0</v>
      </c>
      <c r="R47" s="26">
        <v>500000</v>
      </c>
      <c r="S47" s="48">
        <f t="shared" si="11"/>
        <v>461000</v>
      </c>
      <c r="T47" s="49">
        <f t="shared" si="3"/>
        <v>-39000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s="8" customFormat="1" ht="30.75" customHeight="1">
      <c r="A48" s="7"/>
      <c r="B48" s="52" t="s">
        <v>74</v>
      </c>
      <c r="C48" s="52" t="s">
        <v>74</v>
      </c>
      <c r="D48" s="52"/>
      <c r="E48" s="59" t="s">
        <v>30</v>
      </c>
      <c r="F48" s="71">
        <v>46151</v>
      </c>
      <c r="G48" s="71">
        <v>46151</v>
      </c>
      <c r="H48" s="72">
        <v>46153</v>
      </c>
      <c r="I48" s="45">
        <v>6</v>
      </c>
      <c r="J48" s="26">
        <v>30000</v>
      </c>
      <c r="K48" s="46">
        <f t="shared" si="4"/>
        <v>180000</v>
      </c>
      <c r="L48" s="45">
        <v>1</v>
      </c>
      <c r="M48" s="90">
        <v>1000</v>
      </c>
      <c r="N48" s="46">
        <f t="shared" si="14"/>
        <v>1000</v>
      </c>
      <c r="O48" s="27">
        <v>0</v>
      </c>
      <c r="P48" s="27">
        <v>10000</v>
      </c>
      <c r="Q48" s="47">
        <v>0</v>
      </c>
      <c r="R48" s="26">
        <v>200000</v>
      </c>
      <c r="S48" s="48">
        <f t="shared" si="11"/>
        <v>191000</v>
      </c>
      <c r="T48" s="49">
        <f t="shared" si="3"/>
        <v>-9000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s="8" customFormat="1" ht="30.75" customHeight="1">
      <c r="A49" s="7"/>
      <c r="B49" s="52" t="s">
        <v>75</v>
      </c>
      <c r="C49" s="52" t="s">
        <v>75</v>
      </c>
      <c r="D49" s="52"/>
      <c r="E49" s="59" t="s">
        <v>30</v>
      </c>
      <c r="F49" s="71">
        <v>46153</v>
      </c>
      <c r="G49" s="71">
        <v>46153</v>
      </c>
      <c r="H49" s="72">
        <v>46157</v>
      </c>
      <c r="I49" s="45">
        <v>8</v>
      </c>
      <c r="J49" s="26">
        <v>30000</v>
      </c>
      <c r="K49" s="46">
        <f t="shared" si="4"/>
        <v>240000</v>
      </c>
      <c r="L49" s="45">
        <v>1</v>
      </c>
      <c r="M49" s="90">
        <v>2000</v>
      </c>
      <c r="N49" s="46">
        <f t="shared" si="14"/>
        <v>2000</v>
      </c>
      <c r="O49" s="27">
        <v>0</v>
      </c>
      <c r="P49" s="27">
        <v>10000</v>
      </c>
      <c r="Q49" s="47">
        <v>0</v>
      </c>
      <c r="R49" s="26">
        <v>200000</v>
      </c>
      <c r="S49" s="48">
        <f t="shared" si="11"/>
        <v>252000</v>
      </c>
      <c r="T49" s="49">
        <f t="shared" si="3"/>
        <v>52000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s="8" customFormat="1" ht="30.75" customHeight="1">
      <c r="A50" s="7"/>
      <c r="B50" s="52" t="s">
        <v>76</v>
      </c>
      <c r="C50" s="52" t="s">
        <v>76</v>
      </c>
      <c r="D50" s="52"/>
      <c r="E50" s="59" t="s">
        <v>30</v>
      </c>
      <c r="F50" s="71">
        <v>46157</v>
      </c>
      <c r="G50" s="71">
        <v>46157</v>
      </c>
      <c r="H50" s="72">
        <v>46161</v>
      </c>
      <c r="I50" s="45">
        <v>10</v>
      </c>
      <c r="J50" s="26">
        <v>30000</v>
      </c>
      <c r="K50" s="46">
        <f t="shared" si="4"/>
        <v>300000</v>
      </c>
      <c r="L50" s="45">
        <v>2</v>
      </c>
      <c r="M50" s="90">
        <v>10000</v>
      </c>
      <c r="N50" s="46">
        <f t="shared" si="14"/>
        <v>20000</v>
      </c>
      <c r="O50" s="27">
        <v>0</v>
      </c>
      <c r="P50" s="27">
        <v>10000</v>
      </c>
      <c r="Q50" s="47">
        <v>0</v>
      </c>
      <c r="R50" s="26">
        <v>300000</v>
      </c>
      <c r="S50" s="48">
        <f t="shared" si="11"/>
        <v>330000</v>
      </c>
      <c r="T50" s="49">
        <f t="shared" si="3"/>
        <v>30000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s="8" customFormat="1" ht="30.75" customHeight="1">
      <c r="A51" s="7"/>
      <c r="B51" s="51" t="s">
        <v>77</v>
      </c>
      <c r="C51" s="51"/>
      <c r="D51" s="51"/>
      <c r="E51" s="51"/>
      <c r="F51" s="73">
        <v>46164</v>
      </c>
      <c r="G51" s="73">
        <v>46164</v>
      </c>
      <c r="H51" s="73">
        <v>46165</v>
      </c>
      <c r="I51" s="85">
        <f t="shared" ref="I51:N51" si="15">SUM(I52)</f>
        <v>5</v>
      </c>
      <c r="J51" s="86">
        <f t="shared" si="15"/>
        <v>40000</v>
      </c>
      <c r="K51" s="87">
        <f t="shared" si="15"/>
        <v>200000</v>
      </c>
      <c r="L51" s="85">
        <f t="shared" si="15"/>
        <v>2</v>
      </c>
      <c r="M51" s="86">
        <f t="shared" si="15"/>
        <v>2000</v>
      </c>
      <c r="N51" s="87">
        <f t="shared" si="15"/>
        <v>4000</v>
      </c>
      <c r="O51" s="87">
        <f>SUM(O45:O50)</f>
        <v>0</v>
      </c>
      <c r="P51" s="87">
        <f>SUM(P52)</f>
        <v>30000</v>
      </c>
      <c r="Q51" s="87">
        <f>SUM(Q52)</f>
        <v>0</v>
      </c>
      <c r="R51" s="87">
        <f>SUM(R52)</f>
        <v>200000</v>
      </c>
      <c r="S51" s="48">
        <f t="shared" si="11"/>
        <v>234000</v>
      </c>
      <c r="T51" s="49">
        <f t="shared" si="3"/>
        <v>34000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s="8" customFormat="1" ht="30.75" customHeight="1">
      <c r="A52" s="7"/>
      <c r="B52" s="52" t="s">
        <v>78</v>
      </c>
      <c r="C52" s="52" t="s">
        <v>78</v>
      </c>
      <c r="D52" s="52"/>
      <c r="E52" s="59" t="s">
        <v>28</v>
      </c>
      <c r="F52" s="71">
        <v>46164</v>
      </c>
      <c r="G52" s="71">
        <v>46164</v>
      </c>
      <c r="H52" s="72">
        <v>46165</v>
      </c>
      <c r="I52" s="45">
        <v>5</v>
      </c>
      <c r="J52" s="26">
        <v>40000</v>
      </c>
      <c r="K52" s="46">
        <f t="shared" si="4"/>
        <v>200000</v>
      </c>
      <c r="L52" s="45">
        <v>2</v>
      </c>
      <c r="M52" s="90">
        <v>2000</v>
      </c>
      <c r="N52" s="46">
        <f>L52*M52</f>
        <v>4000</v>
      </c>
      <c r="O52" s="27">
        <v>0</v>
      </c>
      <c r="P52" s="27">
        <v>30000</v>
      </c>
      <c r="Q52" s="47">
        <v>0</v>
      </c>
      <c r="R52" s="26">
        <v>200000</v>
      </c>
      <c r="S52" s="48">
        <f t="shared" si="11"/>
        <v>234000</v>
      </c>
      <c r="T52" s="49">
        <f t="shared" si="3"/>
        <v>34000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s="8" customFormat="1" ht="30.75" customHeight="1">
      <c r="A53" s="7"/>
      <c r="B53" s="55" t="s">
        <v>79</v>
      </c>
      <c r="C53" s="55"/>
      <c r="D53" s="55"/>
      <c r="E53" s="55"/>
      <c r="F53" s="68">
        <v>46168</v>
      </c>
      <c r="G53" s="68">
        <v>46168</v>
      </c>
      <c r="H53" s="68">
        <v>46171</v>
      </c>
      <c r="I53" s="55">
        <f t="shared" ref="I53:N53" si="16">SUM(I54:I56)</f>
        <v>8</v>
      </c>
      <c r="J53" s="78">
        <f t="shared" si="16"/>
        <v>30000</v>
      </c>
      <c r="K53" s="79">
        <f t="shared" si="16"/>
        <v>80000</v>
      </c>
      <c r="L53" s="55">
        <f t="shared" si="16"/>
        <v>3</v>
      </c>
      <c r="M53" s="78">
        <f t="shared" si="16"/>
        <v>6000</v>
      </c>
      <c r="N53" s="79">
        <f t="shared" si="16"/>
        <v>6000</v>
      </c>
      <c r="O53" s="79">
        <f>O52</f>
        <v>0</v>
      </c>
      <c r="P53" s="79">
        <f>SUM(P54:P56)</f>
        <v>2000</v>
      </c>
      <c r="Q53" s="79">
        <f>SUM(Q54:Q56)</f>
        <v>0</v>
      </c>
      <c r="R53" s="79">
        <f>SUM(R54:R56)</f>
        <v>130000</v>
      </c>
      <c r="S53" s="48">
        <f t="shared" si="11"/>
        <v>88000</v>
      </c>
      <c r="T53" s="49">
        <f t="shared" si="3"/>
        <v>-42000</v>
      </c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s="8" customFormat="1" ht="30.75" customHeight="1">
      <c r="A54" s="7"/>
      <c r="B54" s="52" t="s">
        <v>80</v>
      </c>
      <c r="C54" s="52" t="s">
        <v>80</v>
      </c>
      <c r="D54" s="52"/>
      <c r="E54" s="59" t="s">
        <v>28</v>
      </c>
      <c r="F54" s="71">
        <v>46168</v>
      </c>
      <c r="G54" s="71">
        <v>46168</v>
      </c>
      <c r="H54" s="72">
        <v>46169</v>
      </c>
      <c r="I54" s="45">
        <v>2</v>
      </c>
      <c r="J54" s="26">
        <v>10000</v>
      </c>
      <c r="K54" s="46">
        <f t="shared" si="4"/>
        <v>20000</v>
      </c>
      <c r="L54" s="45">
        <v>1</v>
      </c>
      <c r="M54" s="90">
        <v>500</v>
      </c>
      <c r="N54" s="46">
        <f>L54*M54</f>
        <v>500</v>
      </c>
      <c r="O54" s="27">
        <v>20000</v>
      </c>
      <c r="P54" s="27">
        <v>0</v>
      </c>
      <c r="Q54" s="47">
        <v>0</v>
      </c>
      <c r="R54" s="26">
        <v>50000</v>
      </c>
      <c r="S54" s="48">
        <f t="shared" si="11"/>
        <v>40500</v>
      </c>
      <c r="T54" s="49">
        <f t="shared" si="3"/>
        <v>-9500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s="8" customFormat="1" ht="30.75" customHeight="1">
      <c r="A55" s="7"/>
      <c r="B55" s="52" t="s">
        <v>81</v>
      </c>
      <c r="C55" s="52" t="s">
        <v>81</v>
      </c>
      <c r="D55" s="52"/>
      <c r="E55" s="59" t="s">
        <v>28</v>
      </c>
      <c r="F55" s="71">
        <v>46169</v>
      </c>
      <c r="G55" s="71">
        <v>46169</v>
      </c>
      <c r="H55" s="72">
        <v>46170</v>
      </c>
      <c r="I55" s="45">
        <v>5</v>
      </c>
      <c r="J55" s="26">
        <v>10000</v>
      </c>
      <c r="K55" s="46">
        <f t="shared" si="4"/>
        <v>50000</v>
      </c>
      <c r="L55" s="45">
        <v>1</v>
      </c>
      <c r="M55" s="90">
        <v>500</v>
      </c>
      <c r="N55" s="46">
        <f>L55*M55</f>
        <v>500</v>
      </c>
      <c r="O55" s="27">
        <v>0</v>
      </c>
      <c r="P55" s="27">
        <v>1000</v>
      </c>
      <c r="Q55" s="47">
        <v>0</v>
      </c>
      <c r="R55" s="26">
        <v>50000</v>
      </c>
      <c r="S55" s="48">
        <f t="shared" si="11"/>
        <v>51500</v>
      </c>
      <c r="T55" s="49">
        <f t="shared" si="3"/>
        <v>1500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s="8" customFormat="1" ht="30" customHeight="1">
      <c r="A56" s="7"/>
      <c r="B56" s="52" t="s">
        <v>82</v>
      </c>
      <c r="C56" s="52" t="s">
        <v>82</v>
      </c>
      <c r="D56" s="52"/>
      <c r="E56" s="59" t="s">
        <v>28</v>
      </c>
      <c r="F56" s="71">
        <v>46170</v>
      </c>
      <c r="G56" s="71">
        <v>46170</v>
      </c>
      <c r="H56" s="72">
        <v>46171</v>
      </c>
      <c r="I56" s="45">
        <v>1</v>
      </c>
      <c r="J56" s="26">
        <v>10000</v>
      </c>
      <c r="K56" s="46">
        <f t="shared" si="4"/>
        <v>10000</v>
      </c>
      <c r="L56" s="45">
        <v>1</v>
      </c>
      <c r="M56" s="90">
        <v>5000</v>
      </c>
      <c r="N56" s="46">
        <f>L56*M56</f>
        <v>5000</v>
      </c>
      <c r="O56" s="27">
        <v>0</v>
      </c>
      <c r="P56" s="27">
        <v>1000</v>
      </c>
      <c r="Q56" s="47">
        <v>0</v>
      </c>
      <c r="R56" s="26">
        <v>30000</v>
      </c>
      <c r="S56" s="48">
        <f t="shared" si="11"/>
        <v>16000</v>
      </c>
      <c r="T56" s="49">
        <f t="shared" si="3"/>
        <v>-14000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s="8" customFormat="1" ht="30" customHeight="1">
      <c r="A57" s="7"/>
      <c r="B57" s="16" t="s">
        <v>83</v>
      </c>
      <c r="C57" s="16"/>
      <c r="D57" s="16"/>
      <c r="E57" s="22"/>
      <c r="F57" s="17"/>
      <c r="G57" s="17"/>
      <c r="H57" s="37"/>
      <c r="I57" s="30"/>
      <c r="J57" s="23"/>
      <c r="K57" s="88">
        <f>SUM(K5,K17,K24,K28,K32,K37,K39,K44,K51,K53)</f>
        <v>6040000</v>
      </c>
      <c r="L57" s="88"/>
      <c r="M57" s="88">
        <f>SUM(M5,M17,M24,M28,M32,M37,M39,M44,M51,M53)</f>
        <v>250000</v>
      </c>
      <c r="N57" s="88">
        <f>SUM(N5,N17,N24,N28,N32,N37,N39,N44,N51,N53)</f>
        <v>517000</v>
      </c>
      <c r="O57" s="88">
        <f>SUM(O5,O17,O24,O28,O32,O37,O39,O44,O51,O53)</f>
        <v>20000</v>
      </c>
      <c r="P57" s="88">
        <f>SUM(P5,P17,P24,P28,P32,P37,P39,P44,P51,P53)</f>
        <v>402000</v>
      </c>
      <c r="Q57" s="88">
        <f>SUM(Q5,Q17,Q24,Q28,Q32,Q37,Q39,Q44,Q51,Q53)</f>
        <v>20000</v>
      </c>
      <c r="R57" s="88">
        <f>SUM(R5,R17,R24,R28,R32,R37,R39,R44,R51,R53)</f>
        <v>7340000</v>
      </c>
      <c r="S57" s="32">
        <f>SUM(K57:Q57)</f>
        <v>7249000</v>
      </c>
      <c r="T57" s="32">
        <f>S57-R57</f>
        <v>-91000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s="8" customFormat="1" ht="20.25" customHeight="1">
      <c r="A58" s="7"/>
      <c r="B58" s="9"/>
      <c r="C58" s="9"/>
      <c r="D58" s="9"/>
      <c r="E58" s="9"/>
      <c r="F58" s="9"/>
      <c r="G58" s="9"/>
      <c r="H58" s="9"/>
      <c r="I58" s="10"/>
      <c r="J58" s="11"/>
      <c r="K58" s="11"/>
      <c r="L58" s="10"/>
      <c r="M58" s="11"/>
      <c r="N58" s="11"/>
      <c r="O58" s="10"/>
      <c r="P58" s="10"/>
      <c r="Q58" s="11"/>
      <c r="R58" s="12"/>
      <c r="S58" s="11"/>
      <c r="T58" s="13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s="3" customFormat="1" ht="18" customHeight="1">
      <c r="B59" s="5"/>
      <c r="C59" s="5"/>
      <c r="D59" s="5"/>
      <c r="E59" s="5"/>
      <c r="F59" s="5"/>
      <c r="G59" s="5"/>
      <c r="H59" s="5"/>
      <c r="I59" s="1"/>
      <c r="J59" s="2"/>
      <c r="K59" s="2"/>
      <c r="L59" s="1"/>
      <c r="M59" s="2"/>
      <c r="N59" s="2"/>
      <c r="O59" s="1"/>
      <c r="P59" s="1"/>
      <c r="Q59" s="2"/>
      <c r="R59" s="94" t="s">
        <v>84</v>
      </c>
      <c r="S59" s="93">
        <f>S57</f>
        <v>7249000</v>
      </c>
    </row>
    <row r="60" spans="1:4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95" t="s">
        <v>85</v>
      </c>
      <c r="S60" s="96">
        <v>5000000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95" t="s">
        <v>86</v>
      </c>
      <c r="S61" s="97">
        <f>SUM(S59:S60)</f>
        <v>12249000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4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4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4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4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4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4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4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</sheetData>
  <mergeCells count="4">
    <mergeCell ref="I2:K2"/>
    <mergeCell ref="L2:N2"/>
    <mergeCell ref="O2:Q2"/>
    <mergeCell ref="R2:T2"/>
  </mergeCells>
  <conditionalFormatting sqref="E4">
    <cfRule type="containsText" dxfId="100" priority="148" operator="containsText" text="Approved">
      <formula>NOT(ISERROR(SEARCH("Approved",E4)))</formula>
    </cfRule>
    <cfRule type="containsText" dxfId="99" priority="149" operator="containsText" text="Needs Review">
      <formula>NOT(ISERROR(SEARCH("Needs Review",E4)))</formula>
    </cfRule>
    <cfRule type="containsText" dxfId="98" priority="150" operator="containsText" text="Not Started">
      <formula>NOT(ISERROR(SEARCH("Not Started",E4)))</formula>
    </cfRule>
    <cfRule type="containsText" dxfId="97" priority="151" operator="containsText" text="On Hold">
      <formula>NOT(ISERROR(SEARCH("On Hold",E4)))</formula>
    </cfRule>
    <cfRule type="containsText" dxfId="96" priority="152" operator="containsText" text="Overdue">
      <formula>NOT(ISERROR(SEARCH("Overdue",E4)))</formula>
    </cfRule>
    <cfRule type="containsText" dxfId="95" priority="153" operator="containsText" text="Complete">
      <formula>NOT(ISERROR(SEARCH("Complete",E4)))</formula>
    </cfRule>
    <cfRule type="containsText" dxfId="94" priority="154" operator="containsText" text="In Progress">
      <formula>NOT(ISERROR(SEARCH("In Progress",E4)))</formula>
    </cfRule>
  </conditionalFormatting>
  <conditionalFormatting sqref="T5:T57">
    <cfRule type="cellIs" dxfId="93" priority="168" operator="lessThan">
      <formula>0</formula>
    </cfRule>
    <cfRule type="cellIs" dxfId="92" priority="169" operator="greaterThan">
      <formula>0</formula>
    </cfRule>
  </conditionalFormatting>
  <conditionalFormatting sqref="T5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 T24 T28 T32 T37 T39 T44 T51 T53 E17:J17 E24:J24 E28:J28 E32:J32 E37:J37 E39:J39 E44:J44 E51:J51 E53:J53 O17:R17 O24:R24 O28:R28 O32:R32 O37:R37 O39:R39 O44:R44 O51:R51 O53:R53 E6:E56">
    <cfRule type="containsText" dxfId="91" priority="121" operator="containsText" text="On Hold">
      <formula>NOT(ISERROR(SEARCH("On Hold",E6)))</formula>
    </cfRule>
    <cfRule type="containsText" dxfId="90" priority="122" operator="containsText" text="Complete">
      <formula>NOT(ISERROR(SEARCH("Complete",E6)))</formula>
    </cfRule>
    <cfRule type="containsText" dxfId="89" priority="123" operator="containsText" text="In Progress">
      <formula>NOT(ISERROR(SEARCH("In Progress",E6)))</formula>
    </cfRule>
    <cfRule type="containsText" dxfId="88" priority="124" operator="containsText" text="Not Started">
      <formula>NOT(ISERROR(SEARCH("Not Started",E6)))</formula>
    </cfRule>
  </conditionalFormatting>
  <conditionalFormatting sqref="E6:E16">
    <cfRule type="cellIs" dxfId="87" priority="120" operator="equal">
      <formula>"Completo"</formula>
    </cfRule>
  </conditionalFormatting>
  <conditionalFormatting sqref="E6:E16">
    <cfRule type="cellIs" dxfId="86" priority="117" operator="equal">
      <formula>"En Espera"</formula>
    </cfRule>
    <cfRule type="cellIs" dxfId="85" priority="118" operator="equal">
      <formula>"En Progreso"</formula>
    </cfRule>
    <cfRule type="cellIs" dxfId="84" priority="119" operator="equal">
      <formula>"No Iniciado"</formula>
    </cfRule>
  </conditionalFormatting>
  <conditionalFormatting sqref="T17 E17:J17 O17:R17 E13:E23">
    <cfRule type="cellIs" dxfId="83" priority="116" operator="equal">
      <formula>"Completo"</formula>
    </cfRule>
  </conditionalFormatting>
  <conditionalFormatting sqref="T17 E17:J17 O17:R17 E13:E23">
    <cfRule type="cellIs" dxfId="82" priority="113" operator="equal">
      <formula>"En Espera"</formula>
    </cfRule>
    <cfRule type="cellIs" dxfId="81" priority="114" operator="equal">
      <formula>"En Progreso"</formula>
    </cfRule>
    <cfRule type="cellIs" dxfId="80" priority="115" operator="equal">
      <formula>"No Iniciado"</formula>
    </cfRule>
  </conditionalFormatting>
  <conditionalFormatting sqref="E25:E27">
    <cfRule type="cellIs" dxfId="79" priority="112" operator="equal">
      <formula>"Completo"</formula>
    </cfRule>
  </conditionalFormatting>
  <conditionalFormatting sqref="E25:E27">
    <cfRule type="cellIs" dxfId="78" priority="109" operator="equal">
      <formula>"En Espera"</formula>
    </cfRule>
    <cfRule type="cellIs" dxfId="77" priority="110" operator="equal">
      <formula>"En Progreso"</formula>
    </cfRule>
    <cfRule type="cellIs" dxfId="76" priority="111" operator="equal">
      <formula>"No Iniciado"</formula>
    </cfRule>
  </conditionalFormatting>
  <conditionalFormatting sqref="E29:E31 E38 E52 E54:E56 E33:E36 E40:E43 E45:E50">
    <cfRule type="cellIs" dxfId="75" priority="108" operator="equal">
      <formula>"Completo"</formula>
    </cfRule>
  </conditionalFormatting>
  <conditionalFormatting sqref="E29:E31 E38 E52 E54:E56 E33:E36 E40:E43 E45:E50">
    <cfRule type="cellIs" dxfId="74" priority="105" operator="equal">
      <formula>"En Espera"</formula>
    </cfRule>
    <cfRule type="cellIs" dxfId="73" priority="106" operator="equal">
      <formula>"En Progreso"</formula>
    </cfRule>
    <cfRule type="cellIs" dxfId="72" priority="107" operator="equal">
      <formula>"No Iniciado"</formula>
    </cfRule>
  </conditionalFormatting>
  <conditionalFormatting sqref="T37 E37:J37 O37:R37">
    <cfRule type="cellIs" dxfId="71" priority="104" operator="equal">
      <formula>"Completo"</formula>
    </cfRule>
  </conditionalFormatting>
  <conditionalFormatting sqref="T37 E37:J37 O37:R37">
    <cfRule type="cellIs" dxfId="70" priority="101" operator="equal">
      <formula>"En Espera"</formula>
    </cfRule>
    <cfRule type="cellIs" dxfId="69" priority="102" operator="equal">
      <formula>"En Progreso"</formula>
    </cfRule>
    <cfRule type="cellIs" dxfId="68" priority="103" operator="equal">
      <formula>"No Iniciado"</formula>
    </cfRule>
  </conditionalFormatting>
  <conditionalFormatting sqref="T53 E53:J53 O53:R53">
    <cfRule type="cellIs" dxfId="67" priority="100" operator="equal">
      <formula>"Completo"</formula>
    </cfRule>
  </conditionalFormatting>
  <conditionalFormatting sqref="T53 E53:J53 O53:R53">
    <cfRule type="cellIs" dxfId="66" priority="97" operator="equal">
      <formula>"En Espera"</formula>
    </cfRule>
    <cfRule type="cellIs" dxfId="65" priority="98" operator="equal">
      <formula>"En Progreso"</formula>
    </cfRule>
    <cfRule type="cellIs" dxfId="64" priority="99" operator="equal">
      <formula>"No Iniciado"</formula>
    </cfRule>
  </conditionalFormatting>
  <conditionalFormatting sqref="W5:W8">
    <cfRule type="containsText" dxfId="63" priority="93" stopIfTrue="1" operator="containsText" text="On Hold">
      <formula>NOT(ISERROR(SEARCH("On Hold",W5)))</formula>
    </cfRule>
    <cfRule type="containsText" dxfId="62" priority="94" operator="containsText" text="Complete">
      <formula>NOT(ISERROR(SEARCH("Complete",W5)))</formula>
    </cfRule>
    <cfRule type="containsText" dxfId="61" priority="95" operator="containsText" text="In Progress">
      <formula>NOT(ISERROR(SEARCH("In Progress",W5)))</formula>
    </cfRule>
    <cfRule type="containsText" dxfId="60" priority="96" operator="containsText" text="Not Started">
      <formula>NOT(ISERROR(SEARCH("Not Started",W5)))</formula>
    </cfRule>
  </conditionalFormatting>
  <conditionalFormatting sqref="L17:N17">
    <cfRule type="cellIs" dxfId="59" priority="53" operator="equal">
      <formula>"En Espera"</formula>
    </cfRule>
    <cfRule type="cellIs" dxfId="58" priority="54" operator="equal">
      <formula>"En Progreso"</formula>
    </cfRule>
    <cfRule type="cellIs" dxfId="57" priority="55" operator="equal">
      <formula>"No Iniciado"</formula>
    </cfRule>
    <cfRule type="cellIs" dxfId="56" priority="56" operator="equal">
      <formula>"Completo"</formula>
    </cfRule>
  </conditionalFormatting>
  <conditionalFormatting sqref="L17:N17 L24:M24 L28:M28 L32:M32 L37:M37 L39:M39 L44:M44 L51:M51 L53:M53">
    <cfRule type="containsText" dxfId="55" priority="58" operator="containsText" text="Complete">
      <formula>NOT(ISERROR(SEARCH("Complete",L17)))</formula>
    </cfRule>
    <cfRule type="containsText" dxfId="54" priority="59" operator="containsText" text="In Progress">
      <formula>NOT(ISERROR(SEARCH("In Progress",L17)))</formula>
    </cfRule>
    <cfRule type="containsText" dxfId="53" priority="60" operator="containsText" text="Not Started">
      <formula>NOT(ISERROR(SEARCH("Not Started",L17)))</formula>
    </cfRule>
  </conditionalFormatting>
  <conditionalFormatting sqref="L17:N17 L37:M37 L53:M53 L24:M24 L28:M28 L32:M32 L39:M39 L44:M44 L51:M51">
    <cfRule type="containsText" dxfId="52" priority="57" operator="containsText" text="On Hold">
      <formula>NOT(ISERROR(SEARCH("On Hold",L17)))</formula>
    </cfRule>
  </conditionalFormatting>
  <conditionalFormatting sqref="L37:M37">
    <cfRule type="cellIs" dxfId="51" priority="49" operator="equal">
      <formula>"En Espera"</formula>
    </cfRule>
    <cfRule type="cellIs" dxfId="50" priority="50" operator="equal">
      <formula>"En Progreso"</formula>
    </cfRule>
    <cfRule type="cellIs" dxfId="49" priority="51" operator="equal">
      <formula>"No Iniciado"</formula>
    </cfRule>
    <cfRule type="cellIs" dxfId="48" priority="52" operator="equal">
      <formula>"Completo"</formula>
    </cfRule>
  </conditionalFormatting>
  <conditionalFormatting sqref="L53:M53">
    <cfRule type="cellIs" dxfId="47" priority="45" operator="equal">
      <formula>"En Espera"</formula>
    </cfRule>
    <cfRule type="cellIs" dxfId="46" priority="46" operator="equal">
      <formula>"En Progreso"</formula>
    </cfRule>
    <cfRule type="cellIs" dxfId="45" priority="47" operator="equal">
      <formula>"No Iniciado"</formula>
    </cfRule>
    <cfRule type="cellIs" dxfId="44" priority="48" operator="equal">
      <formula>"Completo"</formula>
    </cfRule>
  </conditionalFormatting>
  <conditionalFormatting sqref="E18">
    <cfRule type="cellIs" dxfId="43" priority="44" operator="equal">
      <formula>"Completo"</formula>
    </cfRule>
  </conditionalFormatting>
  <conditionalFormatting sqref="E18">
    <cfRule type="cellIs" dxfId="42" priority="41" operator="equal">
      <formula>"En Espera"</formula>
    </cfRule>
    <cfRule type="cellIs" dxfId="41" priority="42" operator="equal">
      <formula>"En Progreso"</formula>
    </cfRule>
    <cfRule type="cellIs" dxfId="40" priority="43" operator="equal">
      <formula>"No Iniciado"</formula>
    </cfRule>
  </conditionalFormatting>
  <conditionalFormatting sqref="E19">
    <cfRule type="cellIs" dxfId="39" priority="40" operator="equal">
      <formula>"Completo"</formula>
    </cfRule>
  </conditionalFormatting>
  <conditionalFormatting sqref="E19">
    <cfRule type="cellIs" dxfId="38" priority="37" operator="equal">
      <formula>"En Espera"</formula>
    </cfRule>
    <cfRule type="cellIs" dxfId="37" priority="38" operator="equal">
      <formula>"En Progreso"</formula>
    </cfRule>
    <cfRule type="cellIs" dxfId="36" priority="39" operator="equal">
      <formula>"No Iniciado"</formula>
    </cfRule>
  </conditionalFormatting>
  <conditionalFormatting sqref="E20">
    <cfRule type="cellIs" dxfId="35" priority="36" operator="equal">
      <formula>"Completo"</formula>
    </cfRule>
  </conditionalFormatting>
  <conditionalFormatting sqref="E20">
    <cfRule type="cellIs" dxfId="34" priority="33" operator="equal">
      <formula>"En Espera"</formula>
    </cfRule>
    <cfRule type="cellIs" dxfId="33" priority="34" operator="equal">
      <formula>"En Progreso"</formula>
    </cfRule>
    <cfRule type="cellIs" dxfId="32" priority="35" operator="equal">
      <formula>"No Iniciado"</formula>
    </cfRule>
  </conditionalFormatting>
  <conditionalFormatting sqref="E21">
    <cfRule type="cellIs" dxfId="31" priority="32" operator="equal">
      <formula>"Completo"</formula>
    </cfRule>
  </conditionalFormatting>
  <conditionalFormatting sqref="E21">
    <cfRule type="cellIs" dxfId="30" priority="29" operator="equal">
      <formula>"En Espera"</formula>
    </cfRule>
    <cfRule type="cellIs" dxfId="29" priority="30" operator="equal">
      <formula>"En Progreso"</formula>
    </cfRule>
    <cfRule type="cellIs" dxfId="28" priority="31" operator="equal">
      <formula>"No Iniciado"</formula>
    </cfRule>
  </conditionalFormatting>
  <conditionalFormatting sqref="E22:E23">
    <cfRule type="cellIs" dxfId="27" priority="28" operator="equal">
      <formula>"Completo"</formula>
    </cfRule>
  </conditionalFormatting>
  <conditionalFormatting sqref="E22:E23">
    <cfRule type="cellIs" dxfId="26" priority="25" operator="equal">
      <formula>"En Espera"</formula>
    </cfRule>
    <cfRule type="cellIs" dxfId="25" priority="26" operator="equal">
      <formula>"En Progreso"</formula>
    </cfRule>
    <cfRule type="cellIs" dxfId="24" priority="27" operator="equal">
      <formula>"No Iniciado"</formula>
    </cfRule>
  </conditionalFormatting>
  <conditionalFormatting sqref="E25:E27">
    <cfRule type="cellIs" dxfId="23" priority="24" operator="equal">
      <formula>"Completo"</formula>
    </cfRule>
  </conditionalFormatting>
  <conditionalFormatting sqref="E25:E27">
    <cfRule type="cellIs" dxfId="22" priority="21" operator="equal">
      <formula>"En Espera"</formula>
    </cfRule>
    <cfRule type="cellIs" dxfId="21" priority="22" operator="equal">
      <formula>"En Progreso"</formula>
    </cfRule>
    <cfRule type="cellIs" dxfId="20" priority="23" operator="equal">
      <formula>"No Iniciado"</formula>
    </cfRule>
  </conditionalFormatting>
  <conditionalFormatting sqref="E25:E27">
    <cfRule type="cellIs" dxfId="19" priority="20" operator="equal">
      <formula>"Completo"</formula>
    </cfRule>
  </conditionalFormatting>
  <conditionalFormatting sqref="E25:E27">
    <cfRule type="cellIs" dxfId="18" priority="17" operator="equal">
      <formula>"En Espera"</formula>
    </cfRule>
    <cfRule type="cellIs" dxfId="17" priority="18" operator="equal">
      <formula>"En Progreso"</formula>
    </cfRule>
    <cfRule type="cellIs" dxfId="16" priority="19" operator="equal">
      <formula>"No Iniciado"</formula>
    </cfRule>
  </conditionalFormatting>
  <conditionalFormatting sqref="E29:E31">
    <cfRule type="cellIs" dxfId="15" priority="16" operator="equal">
      <formula>"Completo"</formula>
    </cfRule>
  </conditionalFormatting>
  <conditionalFormatting sqref="E29:E31">
    <cfRule type="cellIs" dxfId="14" priority="13" operator="equal">
      <formula>"En Espera"</formula>
    </cfRule>
    <cfRule type="cellIs" dxfId="13" priority="14" operator="equal">
      <formula>"En Progreso"</formula>
    </cfRule>
    <cfRule type="cellIs" dxfId="12" priority="15" operator="equal">
      <formula>"No Iniciado"</formula>
    </cfRule>
  </conditionalFormatting>
  <conditionalFormatting sqref="E29:E31">
    <cfRule type="cellIs" dxfId="11" priority="12" operator="equal">
      <formula>"Completo"</formula>
    </cfRule>
  </conditionalFormatting>
  <conditionalFormatting sqref="E29:E31">
    <cfRule type="cellIs" dxfId="10" priority="9" operator="equal">
      <formula>"En Espera"</formula>
    </cfRule>
    <cfRule type="cellIs" dxfId="9" priority="10" operator="equal">
      <formula>"En Progreso"</formula>
    </cfRule>
    <cfRule type="cellIs" dxfId="8" priority="11" operator="equal">
      <formula>"No Iniciado"</formula>
    </cfRule>
  </conditionalFormatting>
  <conditionalFormatting sqref="E38">
    <cfRule type="cellIs" dxfId="7" priority="8" operator="equal">
      <formula>"Completo"</formula>
    </cfRule>
  </conditionalFormatting>
  <conditionalFormatting sqref="E38">
    <cfRule type="cellIs" dxfId="6" priority="5" operator="equal">
      <formula>"En Espera"</formula>
    </cfRule>
    <cfRule type="cellIs" dxfId="5" priority="6" operator="equal">
      <formula>"En Progreso"</formula>
    </cfRule>
    <cfRule type="cellIs" dxfId="4" priority="7" operator="equal">
      <formula>"No Iniciado"</formula>
    </cfRule>
  </conditionalFormatting>
  <conditionalFormatting sqref="E38">
    <cfRule type="cellIs" dxfId="3" priority="4" operator="equal">
      <formula>"Completo"</formula>
    </cfRule>
  </conditionalFormatting>
  <conditionalFormatting sqref="E38">
    <cfRule type="cellIs" dxfId="2" priority="1" operator="equal">
      <formula>"En Espera"</formula>
    </cfRule>
    <cfRule type="cellIs" dxfId="1" priority="2" operator="equal">
      <formula>"En Progreso"</formula>
    </cfRule>
    <cfRule type="cellIs" dxfId="0" priority="3" operator="equal">
      <formula>"No Iniciado"</formula>
    </cfRule>
  </conditionalFormatting>
  <dataValidations disablePrompts="1" count="2">
    <dataValidation type="list" allowBlank="1" showInputMessage="1" showErrorMessage="1" sqref="E6:E16 E33:E36 E52 E18:E23 E40:E43 E25:E27 E45:E50 E54:E56 E29:E31 E38" xr:uid="{5212907E-A1EC-4F92-944F-1A066B696A0E}">
      <formula1>$L$8:$L$11</formula1>
    </dataValidation>
    <dataValidation type="list" allowBlank="1" showInputMessage="1" showErrorMessage="1" sqref="E4" xr:uid="{C2314EDA-12D6-2749-B3F6-EF76459AD42E}">
      <formula1>#REF!</formula1>
    </dataValidation>
  </dataValidations>
  <pageMargins left="0.3" right="0.3" top="0.3" bottom="0.3" header="0" footer="0"/>
  <pageSetup scale="63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REBECA  PEDROZO CUETO</cp:lastModifiedBy>
  <cp:revision/>
  <dcterms:created xsi:type="dcterms:W3CDTF">2015-08-28T20:34:30Z</dcterms:created>
  <dcterms:modified xsi:type="dcterms:W3CDTF">2026-05-02T17:59:56Z</dcterms:modified>
  <cp:category/>
  <cp:contentStatus/>
</cp:coreProperties>
</file>